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316AF4FF-6532-DD95-964C-923D217D005E}"/>
  <workbookPr codeName="ThisWorkbook"/>
  <mc:AlternateContent xmlns:mc="http://schemas.openxmlformats.org/markup-compatibility/2006">
    <mc:Choice Requires="x15">
      <x15ac:absPath xmlns:x15ac="http://schemas.microsoft.com/office/spreadsheetml/2010/11/ac" url="C:\Users\43676\Documents\GitHub\excel_RDF\src\main\resources\"/>
    </mc:Choice>
  </mc:AlternateContent>
  <xr:revisionPtr revIDLastSave="0" documentId="13_ncr:1_{CEDDC986-CBDF-4314-A51E-C3357B9EEAC1}" xr6:coauthVersionLast="45" xr6:coauthVersionMax="45" xr10:uidLastSave="{00000000-0000-0000-0000-000000000000}"/>
  <bookViews>
    <workbookView xWindow="-110" yWindow="-110" windowWidth="19420" windowHeight="11020" xr2:uid="{00000000-000D-0000-FFFF-FFFF00000000}"/>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1" l="1"/>
  <c r="E2" i="1"/>
  <c r="F4" i="1" l="1"/>
  <c r="F3" i="1" l="1"/>
  <c r="F2" i="1" l="1"/>
  <c r="M2" i="2" l="1"/>
  <c r="N2" i="2"/>
  <c r="C2" i="2"/>
  <c r="D4" i="1"/>
  <c r="F3" i="2" l="1"/>
  <c r="F4" i="2"/>
  <c r="F5" i="2"/>
  <c r="F6" i="2"/>
  <c r="F7" i="2"/>
  <c r="F2" i="2"/>
  <c r="D3" i="2" l="1"/>
  <c r="D4" i="2"/>
  <c r="D5" i="2"/>
  <c r="D6" i="2"/>
  <c r="D7" i="2"/>
  <c r="D2" i="2"/>
  <c r="C3" i="2"/>
  <c r="C4" i="2"/>
  <c r="C5" i="2"/>
  <c r="C6" i="2"/>
  <c r="C7" i="2"/>
  <c r="B3" i="2" a="1"/>
  <c r="B3" i="2"/>
  <c r="B4" i="2" a="1"/>
  <c r="B4" i="2" s="1"/>
  <c r="B5" i="2" a="1"/>
  <c r="B5" i="2" s="1"/>
  <c r="B6" i="2" a="1"/>
  <c r="B6" i="2" s="1"/>
  <c r="B7" i="2" a="1"/>
  <c r="B7" i="2" s="1"/>
  <c r="B2" i="2" a="1"/>
  <c r="B2" i="2" s="1"/>
  <c r="A3" i="2"/>
  <c r="A4" i="2"/>
  <c r="A5" i="2"/>
  <c r="A6" i="2"/>
  <c r="A7" i="2"/>
  <c r="A2" i="2"/>
  <c r="M2" i="1"/>
  <c r="M3" i="1"/>
  <c r="M4" i="1"/>
  <c r="M5" i="1"/>
  <c r="M6" i="1"/>
  <c r="M7" i="1"/>
  <c r="M8" i="1"/>
  <c r="D3" i="1"/>
  <c r="D5" i="1"/>
  <c r="D6" i="1"/>
  <c r="D7" i="1"/>
  <c r="D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tc={DEBB5416-7B33-4729-BC22-158E417639C5}</author>
  </authors>
  <commentList>
    <comment ref="B2"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Overpriced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<sst xmlns="http://schemas.openxmlformats.org/spreadsheetml/2006/main" count="33" uniqueCount="29">
  <si>
    <t>Produkt</t>
  </si>
  <si>
    <t>Price</t>
  </si>
  <si>
    <t>Quantity</t>
  </si>
  <si>
    <t>Bread</t>
  </si>
  <si>
    <t>Total Value</t>
  </si>
  <si>
    <t>Cookies</t>
  </si>
  <si>
    <t>Chocolate</t>
  </si>
  <si>
    <t>Sugar</t>
  </si>
  <si>
    <t>Egg</t>
  </si>
  <si>
    <t>Ketchup</t>
  </si>
  <si>
    <t>Games</t>
  </si>
  <si>
    <t>Year Released</t>
  </si>
  <si>
    <t>Discount</t>
  </si>
  <si>
    <t>Price After</t>
  </si>
  <si>
    <t>Fifa</t>
  </si>
  <si>
    <t>Resident Evil</t>
  </si>
  <si>
    <t>Fallout</t>
  </si>
  <si>
    <t>Football Manager</t>
  </si>
  <si>
    <t>Last of Us</t>
  </si>
  <si>
    <t>GTA</t>
  </si>
  <si>
    <t>After Dawn</t>
  </si>
  <si>
    <t>Buy-Price</t>
  </si>
  <si>
    <t>Sell-Price</t>
  </si>
  <si>
    <t>Inflation</t>
  </si>
  <si>
    <t>SomeCalculation</t>
  </si>
  <si>
    <t>test</t>
  </si>
  <si>
    <t>test2</t>
  </si>
  <si>
    <t>TestIF</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</si>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</sst>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 #,##0.00_-;\-&quot;€&quot;\ * #,##0.00_-;_-&quot;€&quot;\ * &quot;-&quot;??_-;_-@_-"/>
  </numFmts>
  <fonts count="3" x14ac:knownFonts="1">
    <font>
      <sz val="11"/>
      <color theme="1"/>
      <name val="Gill Sans MT"/>
      <family val="2"/>
      <scheme val="minor"/>
    </font>
    <font>
      <sz val="11"/>
      <color theme="1"/>
      <name val="Gill Sans MT"/>
      <family val="2"/>
      <scheme val="minor"/>
    </font>
    <font>
      <b/>
      <sz val="11"/>
      <color theme="1"/>
      <name val="Gill Sans MT"/>
      <family val="2"/>
      <scheme val="minor"/>
    </font>
  </fonts>
  <fills count="2">
    <fill>
      <patternFill patternType="none"/>
    </fill>
    <fill>
      <patternFill patternType="gray125"/>
    </fill>
  </fills>
  <borders count="1">
    <border>
      <left/>
      <right/>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5">
    <xf numFmtId="0" fontId="0" fillId="0" borderId="0" xfId="0"/>
    <xf numFmtId="0" fontId="2" fillId="0" borderId="0" xfId="0" applyFont="1"/>
    <xf numFmtId="44" fontId="0" fillId="0" borderId="0" xfId="1" applyFont="1"/>
    <xf numFmtId="44" fontId="0" fillId="0" borderId="0" xfId="0" applyNumberFormat="1"/>
    <xf numFmtId="9" fontId="0" fillId="0" borderId="0" xfId="2" applyFont="1"/>
  </cellXfs>
  <cellStyles count="3">
    <cellStyle name="Currency" xfId="1" builtinId="4"/>
    <cellStyle name="Normal" xfId="0" builtinId="0"/>
    <cellStyle name="Percent" xfId="2" builtinId="5"/>
  </cellStyles>
  <dxfs count="1">
    <dxf>
      <numFmt numFmtId="34" formatCode="_-&quot;€&quot;\ * #,##0.00_-;\-&quot;€&quot;\ * #,##0.00_-;_-&quot;€&quot;\ *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AT"/>
        </a:p>
      </c:txPr>
    </c:title>
    <c:autoTitleDeleted val="0"/>
    <c:plotArea>
      <c:layout/>
      <c:pieChart>
        <c:varyColors val="1"/>
        <c:ser>
          <c:idx val="2"/>
          <c:order val="2"/>
          <c:tx>
            <c:strRef>
              <c:f>Sheet1!$L$1</c:f>
              <c:strCache>
                <c:ptCount val="1"/>
                <c:pt idx="0">
                  <c:v>Discount</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1-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3-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5-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7-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9-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B-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D-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Sheet1!$I$2:$I$8</c:f>
              <c:strCache>
                <c:ptCount val="7"/>
                <c:pt idx="0">
                  <c:v>Fifa</c:v>
                </c:pt>
                <c:pt idx="1">
                  <c:v>Resident Evil</c:v>
                </c:pt>
                <c:pt idx="2">
                  <c:v>Fallout</c:v>
                </c:pt>
                <c:pt idx="3">
                  <c:v>Football Manager</c:v>
                </c:pt>
                <c:pt idx="4">
                  <c:v>Last of Us</c:v>
                </c:pt>
                <c:pt idx="5">
                  <c:v>GTA</c:v>
                </c:pt>
                <c:pt idx="6">
                  <c:v>After Dawn</c:v>
                </c:pt>
              </c:strCache>
            </c:strRef>
          </c:cat>
          <c:val>
            <c:numRef>
              <c:f>Sheet1!$L$2:$L$8</c:f>
              <c:numCache>
                <c:formatCode>0%</c:formatCode>
                <c:ptCount val="7"/>
                <c:pt idx="0">
                  <c:v>0.2</c:v>
                </c:pt>
                <c:pt idx="1">
                  <c:v>0.4</c:v>
                </c:pt>
                <c:pt idx="2">
                  <c:v>0.5</c:v>
                </c:pt>
                <c:pt idx="3">
                  <c:v>0.7</c:v>
                </c:pt>
                <c:pt idx="4">
                  <c:v>0.1</c:v>
                </c:pt>
                <c:pt idx="5">
                  <c:v>0.8</c:v>
                </c:pt>
                <c:pt idx="6">
                  <c:v>0.35</c:v>
                </c:pt>
              </c:numCache>
            </c:numRef>
          </c:val>
          <c:extLst>
            <c:ext xmlns:c16="http://schemas.microsoft.com/office/drawing/2014/chart" uri="{C3380CC4-5D6E-409C-BE32-E72D297353CC}">
              <c16:uniqueId val="{00000002-EF58-413A-9B45-06B63F587447}"/>
            </c:ext>
          </c:extLst>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Sheet1!$J$1</c15:sqref>
                        </c15:formulaRef>
                      </c:ext>
                    </c:extLst>
                    <c:strCache>
                      <c:ptCount val="1"/>
                      <c:pt idx="0">
                        <c:v>Year Released</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F-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1-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3-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5-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7-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9-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B-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uri="{CE6537A1-D6FC-4f65-9D91-7224C49458BB}"/>
                  </c:extLst>
                </c:dLbls>
                <c:cat>
                  <c:strRef>
                    <c:extLst>
                      <c:ex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uri="{02D57815-91ED-43cb-92C2-25804820EDAC}">
                        <c15:formulaRef>
                          <c15:sqref>Sheet1!$J$2:$J$8</c15:sqref>
                        </c15:formulaRef>
                      </c:ext>
                    </c:extLst>
                    <c:numCache>
                      <c:formatCode>General</c:formatCode>
                      <c:ptCount val="7"/>
                      <c:pt idx="0">
                        <c:v>2020</c:v>
                      </c:pt>
                      <c:pt idx="1">
                        <c:v>2019</c:v>
                      </c:pt>
                      <c:pt idx="2">
                        <c:v>2018</c:v>
                      </c:pt>
                      <c:pt idx="3">
                        <c:v>2020</c:v>
                      </c:pt>
                      <c:pt idx="4">
                        <c:v>2020</c:v>
                      </c:pt>
                      <c:pt idx="5">
                        <c:v>2017</c:v>
                      </c:pt>
                      <c:pt idx="6">
                        <c:v>2018</c:v>
                      </c:pt>
                    </c:numCache>
                  </c:numRef>
                </c:val>
                <c:extLst>
                  <c:ext xmlns:c16="http://schemas.microsoft.com/office/drawing/2014/chart" uri="{C3380CC4-5D6E-409C-BE32-E72D297353CC}">
                    <c16:uniqueId val="{00000000-EF58-413A-9B45-06B63F587447}"/>
                  </c:ext>
                </c:extLst>
              </c15:ser>
            </c15:filteredPieSeries>
            <c15:filteredPieSeries>
              <c15:ser>
                <c:idx val="1"/>
                <c:order val="1"/>
                <c:tx>
                  <c:strRef>
                    <c:extLst>
                      <c:ext xmlns:c15="http://schemas.microsoft.com/office/drawing/2012/chart" uri="{02D57815-91ED-43cb-92C2-25804820EDAC}">
                        <c15:formulaRef>
                          <c15:sqref>Sheet1!$K$1</c15:sqref>
                        </c15:formulaRef>
                      </c:ext>
                    </c:extLst>
                    <c:strCache>
                      <c:ptCount val="1"/>
                      <c:pt idx="0">
                        <c:v>Price</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1D-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1F-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1-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3-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5-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7-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9-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xmlns:c15="http://schemas.microsoft.com/office/drawing/2012/chart" uri="{02D57815-91ED-43cb-92C2-25804820EDAC}">
                        <c15:formulaRef>
                          <c15:sqref>Sheet1!$K$2:$K$8</c15:sqref>
                        </c15:formulaRef>
                      </c:ext>
                    </c:extLst>
                    <c:numCache>
                      <c:formatCode>_("€"* #,##0.00_);_("€"* \(#,##0.00\);_("€"* "-"??_);_(@_)</c:formatCode>
                      <c:ptCount val="7"/>
                      <c:pt idx="0">
                        <c:v>60</c:v>
                      </c:pt>
                      <c:pt idx="1">
                        <c:v>60</c:v>
                      </c:pt>
                      <c:pt idx="2">
                        <c:v>60</c:v>
                      </c:pt>
                      <c:pt idx="3">
                        <c:v>60</c:v>
                      </c:pt>
                      <c:pt idx="4">
                        <c:v>60</c:v>
                      </c:pt>
                      <c:pt idx="5">
                        <c:v>60</c:v>
                      </c:pt>
                      <c:pt idx="6">
                        <c:v>60</c:v>
                      </c:pt>
                    </c:numCache>
                  </c:numRef>
                </c:val>
                <c:extLst xmlns:c15="http://schemas.microsoft.com/office/drawing/2012/chart">
                  <c:ext xmlns:c16="http://schemas.microsoft.com/office/drawing/2014/chart" uri="{C3380CC4-5D6E-409C-BE32-E72D297353CC}">
                    <c16:uniqueId val="{00000001-EF58-413A-9B45-06B63F587447}"/>
                  </c:ext>
                </c:extLst>
              </c15:ser>
            </c15:filteredPieSeries>
            <c15:filteredPieSeries>
              <c15:ser>
                <c:idx val="3"/>
                <c:order val="3"/>
                <c:tx>
                  <c:strRef>
                    <c:extLst>
                      <c:ext xmlns:c15="http://schemas.microsoft.com/office/drawing/2012/chart" uri="{02D57815-91ED-43cb-92C2-25804820EDAC}">
                        <c15:formulaRef>
                          <c15:sqref>Sheet1!$M$1</c15:sqref>
                        </c15:formulaRef>
                      </c:ext>
                    </c:extLst>
                    <c:strCache>
                      <c:ptCount val="1"/>
                      <c:pt idx="0">
                        <c:v>Price After</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B-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D-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F-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1-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3-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5-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7-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xmlns:c15="http://schemas.microsoft.com/office/drawing/2012/chart" uri="{02D57815-91ED-43cb-92C2-25804820EDAC}">
                        <c15:formulaRef>
                          <c15:sqref>Sheet1!$M$2:$M$8</c15:sqref>
                        </c15:formulaRef>
                      </c:ext>
                    </c:extLst>
                    <c:numCache>
                      <c:formatCode>_("€"* #,##0.00_);_("€"* \(#,##0.00\);_("€"* "-"??_);_(@_)</c:formatCode>
                      <c:ptCount val="7"/>
                      <c:pt idx="0">
                        <c:v>48</c:v>
                      </c:pt>
                      <c:pt idx="1">
                        <c:v>36</c:v>
                      </c:pt>
                      <c:pt idx="2">
                        <c:v>30</c:v>
                      </c:pt>
                      <c:pt idx="3">
                        <c:v>18</c:v>
                      </c:pt>
                      <c:pt idx="4">
                        <c:v>54</c:v>
                      </c:pt>
                      <c:pt idx="5">
                        <c:v>12</c:v>
                      </c:pt>
                      <c:pt idx="6">
                        <c:v>39</c:v>
                      </c:pt>
                    </c:numCache>
                  </c:numRef>
                </c:val>
                <c:extLst xmlns:c15="http://schemas.microsoft.com/office/drawing/2012/chart">
                  <c:ext xmlns:c16="http://schemas.microsoft.com/office/drawing/2014/chart" uri="{C3380CC4-5D6E-409C-BE32-E72D297353CC}">
                    <c16:uniqueId val="{00000003-EF58-413A-9B45-06B63F587447}"/>
                  </c:ext>
                </c:extLst>
              </c15:ser>
            </c15:filteredPieSeries>
          </c:ext>
        </c:extLst>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A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A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219075</xdr:colOff>
      <xdr:row>9</xdr:row>
      <xdr:rowOff>19050</xdr:rowOff>
    </xdr:from>
    <xdr:to>
      <xdr:col>12</xdr:col>
      <xdr:colOff>1108075</xdr:colOff>
      <xdr:row>22</xdr:row>
      <xdr:rowOff>38100</xdr:rowOff>
    </xdr:to>
    <xdr:graphicFrame macro="">
      <xdr:nvGraphicFramePr>
        <xdr:cNvPr id="3" name="Chart 2">
          <a:extLst>
            <a:ext uri="{FF2B5EF4-FFF2-40B4-BE49-F238E27FC236}">
              <a16:creationId xmlns:a16="http://schemas.microsoft.com/office/drawing/2014/main" id="{65F12E1F-C113-458B-A444-426BEE3B07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xdr:colOff>
      <xdr:row>9</xdr:row>
      <xdr:rowOff>190500</xdr:rowOff>
    </xdr:from>
    <xdr:to>
      <xdr:col>6</xdr:col>
      <xdr:colOff>590550</xdr:colOff>
      <xdr:row>15</xdr:row>
      <xdr:rowOff>88900</xdr:rowOff>
    </xdr:to>
    <xdr:sp macro="" textlink="">
      <xdr:nvSpPr>
        <xdr:cNvPr id="4" name="TextBox 3">
          <a:extLst>
            <a:ext uri="{FF2B5EF4-FFF2-40B4-BE49-F238E27FC236}">
              <a16:creationId xmlns:a16="http://schemas.microsoft.com/office/drawing/2014/main" id="{89CEA98A-A0E5-4D83-BE91-5F3B56B02E94}"/>
            </a:ext>
          </a:extLst>
        </xdr:cNvPr>
        <xdr:cNvSpPr txBox="1"/>
      </xdr:nvSpPr>
      <xdr:spPr>
        <a:xfrm>
          <a:off x="19050" y="2076450"/>
          <a:ext cx="50355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a:t>"Lorem ipsum dolor sit amet, consectetur adipiscing elit, sed do eiusmod tempor incididunt ut labore et dolore magna aliqua. Ut enim ad minim veniam, quis nostrud exercitation ullamco laboris nisi ut aliquip ex ea commodo consequat. Duis aute irure dolor in reprehenderit in voluptate velit esse cillum dolore eu fugiat nulla pariatur. Excepteur sint occaecat cupidatat non proident, sunt in culpa qui officia deserunt mollit anim id est laborum."</a:t>
          </a:r>
          <a:endParaRPr lang="en-AT" sz="1100"/>
        </a:p>
      </xdr:txBody>
    </xdr:sp>
    <xdr:clientData/>
  </xdr:twoCellAnchor>
  <xdr:twoCellAnchor editAs="oneCell">
    <xdr:from>
      <xdr:col>2</xdr:col>
      <xdr:colOff>419100</xdr:colOff>
      <xdr:row>16</xdr:row>
      <xdr:rowOff>146050</xdr:rowOff>
    </xdr:from>
    <xdr:to>
      <xdr:col>3</xdr:col>
      <xdr:colOff>571500</xdr:colOff>
      <xdr:row>21</xdr:row>
      <xdr:rowOff>12700</xdr:rowOff>
    </xdr:to>
    <xdr:pic>
      <xdr:nvPicPr>
        <xdr:cNvPr id="9" name="Graphic 8" descr="Airplane">
          <a:extLst>
            <a:ext uri="{FF2B5EF4-FFF2-40B4-BE49-F238E27FC236}">
              <a16:creationId xmlns:a16="http://schemas.microsoft.com/office/drawing/2014/main" id="{468AE27C-D3A7-49CA-B546-B2922696ED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41500" y="3498850"/>
          <a:ext cx="914400" cy="9144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tevixe" id="{282D547A-93FD-4E14-8FDF-798DABA0B97C}" userId="tevixe"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I1:M8" totalsRowShown="0">
  <autoFilter ref="I1:M8" xr:uid="{00000000-0009-0000-0100-000001000000}"/>
  <tableColumns count="5">
    <tableColumn id="1" xr3:uid="{00000000-0010-0000-0000-000001000000}" name="Games"/>
    <tableColumn id="2" xr3:uid="{00000000-0010-0000-0000-000002000000}" name="Year Released"/>
    <tableColumn id="3" xr3:uid="{00000000-0010-0000-0000-000003000000}" name="Price"/>
    <tableColumn id="4" xr3:uid="{00000000-0010-0000-0000-000004000000}" name="Discount"/>
    <tableColumn id="5" xr3:uid="{00000000-0010-0000-0000-000005000000}" name="Price After" dataDxfId="0">
      <calculatedColumnFormula>K2-(K2*(L2*100/100))</calculatedColumnFormula>
    </tableColumn>
  </tableColumns>
  <tableStyleInfo name="TableStyleLight16" showFirstColumn="0" showLastColumn="0" showRowStripes="1" showColumnStripes="0"/>
</table>
</file>

<file path=xl/theme/theme1.xml><?xml version="1.0" encoding="utf-8"?>
<a:theme xmlns:a="http://schemas.openxmlformats.org/drawingml/2006/main" name="Badge">
  <a:themeElements>
    <a:clrScheme name="Badge">
      <a:dk1>
        <a:sysClr val="windowText" lastClr="000000"/>
      </a:dk1>
      <a:lt1>
        <a:sysClr val="window" lastClr="FFFFFF"/>
      </a:lt1>
      <a:dk2>
        <a:srgbClr val="2A1A00"/>
      </a:dk2>
      <a:lt2>
        <a:srgbClr val="F3F3F2"/>
      </a:lt2>
      <a:accent1>
        <a:srgbClr val="F8B323"/>
      </a:accent1>
      <a:accent2>
        <a:srgbClr val="656A59"/>
      </a:accent2>
      <a:accent3>
        <a:srgbClr val="46B2B5"/>
      </a:accent3>
      <a:accent4>
        <a:srgbClr val="8CAA7E"/>
      </a:accent4>
      <a:accent5>
        <a:srgbClr val="D36F68"/>
      </a:accent5>
      <a:accent6>
        <a:srgbClr val="826276"/>
      </a:accent6>
      <a:hlink>
        <a:srgbClr val="46B2B5"/>
      </a:hlink>
      <a:folHlink>
        <a:srgbClr val="A46694"/>
      </a:folHlink>
    </a:clrScheme>
    <a:fontScheme name="Badge">
      <a:majorFont>
        <a:latin typeface="Impact" panose="020B080603090205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Gill Sans MT" panose="020B0502020104020203"/>
        <a:ea typeface=""/>
        <a:cs typeface=""/>
        <a:font script="Grek" typeface="Corbel"/>
        <a:font script="Cyrl" typeface="Corbel"/>
        <a:font script="Jpan" typeface="メイリオ"/>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Badge">
      <a:fillStyleLst>
        <a:solidFill>
          <a:schemeClr val="phClr"/>
        </a:solidFill>
        <a:gradFill rotWithShape="1">
          <a:gsLst>
            <a:gs pos="0">
              <a:schemeClr val="phClr">
                <a:tint val="67000"/>
                <a:satMod val="105000"/>
                <a:lumMod val="110000"/>
              </a:schemeClr>
            </a:gs>
            <a:gs pos="50000">
              <a:schemeClr val="phClr">
                <a:tint val="73000"/>
                <a:satMod val="103000"/>
                <a:lumMod val="105000"/>
              </a:schemeClr>
            </a:gs>
            <a:gs pos="100000">
              <a:schemeClr val="phClr">
                <a:tint val="81000"/>
                <a:satMod val="109000"/>
                <a:lumMod val="105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6350" cap="flat" cmpd="sng" algn="in">
          <a:solidFill>
            <a:schemeClr val="phClr"/>
          </a:solidFill>
          <a:prstDash val="solid"/>
        </a:ln>
        <a:ln w="12700" cap="flat" cmpd="sng" algn="in">
          <a:solidFill>
            <a:schemeClr val="phClr"/>
          </a:solidFill>
          <a:prstDash val="solid"/>
        </a:ln>
        <a:ln w="50800" cap="flat" cmpd="sng" algn="in">
          <a:solidFill>
            <a:schemeClr val="phClr"/>
          </a:solidFill>
          <a:prstDash val="solid"/>
        </a:ln>
      </a:lnStyleLst>
      <a:effectStyleLst>
        <a:effectStyle>
          <a:effectLst/>
        </a:effectStyle>
        <a:effectStyle>
          <a:effectLst/>
        </a:effectStyle>
        <a:effectStyle>
          <a:effectLst>
            <a:outerShdw blurRad="38100" dist="25400" dir="5400000" algn="ctr" rotWithShape="0">
              <a:srgbClr val="000000">
                <a:alpha val="25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adge" id="{71A07785-5930-41D4-9A83-E23602B48E98}" vid="{771EA782-DFA6-45B1-AEA3-661F1715B310}"/>
    </a:ext>
  </a:extLst>
</a:theme>
</file>

<file path=xl/threadedComments/threadedComment1.xml><?xml version="1.0" encoding="utf-8"?>
<ThreadedComments xmlns="http://schemas.microsoft.com/office/spreadsheetml/2018/threadedcomments" xmlns:x="http://schemas.openxmlformats.org/spreadsheetml/2006/main">
  <threadedComment ref="B2" dT="2020-10-01T12:46:32.37" personId="{282D547A-93FD-4E14-8FDF-798DABA0B97C}" id="{DEBB5416-7B33-4729-BC22-158E417639C5}">
    <text>Overpriced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B87"/>
  <sheetViews>
    <sheetView tabSelected="1" topLeftCell="ZS1" workbookViewId="0">
      <selection activeCell="AAB1" sqref="AAB1"/>
    </sheetView>
  </sheetViews>
  <sheetFormatPr defaultRowHeight="16.5" x14ac:dyDescent="0.5"/>
  <cols>
    <col min="1" max="1" width="11.6328125" customWidth="1"/>
    <col min="3" max="3" width="10.90625" customWidth="1"/>
    <col min="4" max="4" width="15.1796875" customWidth="1"/>
    <col min="5" max="6" width="10.7265625" bestFit="1" customWidth="1"/>
    <col min="9" max="9" width="16.1796875" customWidth="1"/>
    <col min="10" max="10" width="16" customWidth="1"/>
    <col min="11" max="12" width="10.26953125" customWidth="1"/>
    <col min="13" max="13" width="16.54296875" customWidth="1"/>
  </cols>
  <sheetData>
    <row r="1" spans="1:704" x14ac:dyDescent="0.5">
      <c r="A1" s="1" t="s">
        <v>0</v>
      </c>
      <c r="B1" s="1" t="s">
        <v>1</v>
      </c>
      <c r="C1" s="1" t="s">
        <v>2</v>
      </c>
      <c r="D1" s="1" t="s">
        <v>4</v>
      </c>
      <c r="F1" s="1" t="s">
        <v>27</v>
      </c>
      <c r="I1" t="s">
        <v>10</v>
      </c>
      <c r="J1" t="s">
        <v>11</v>
      </c>
      <c r="K1" t="s">
        <v>1</v>
      </c>
      <c r="L1" s="4" t="s">
        <v>12</v>
      </c>
      <c r="M1" t="s">
        <v>13</v>
      </c>
      <c r="AAB1" t="s">
        <v>28</v>
      </c>
    </row>
    <row r="2" spans="1:704" x14ac:dyDescent="0.5">
      <c r="A2" t="s">
        <v>3</v>
      </c>
      <c r="B2" s="2">
        <v>5</v>
      </c>
      <c r="C2">
        <v>1100</v>
      </c>
      <c r="D2" s="3">
        <f>SUM(B2:C2)</f>
        <v>1105</v>
      </c>
      <c r="E2" s="3">
        <f>SUM(B2:B4) + SUM(C2:C4)</f>
        <v>1366</v>
      </c>
      <c r="F2">
        <f>IF(C3&gt;C4,IF(C2&gt;C4,C2,C4),IF(C3 &gt;C4, IF(C2 &gt;C3, C2,C3),C4))</f>
        <v>1100</v>
      </c>
      <c r="I2" t="s">
        <v>14</v>
      </c>
      <c r="J2">
        <v>2020</v>
      </c>
      <c r="K2" s="2">
        <v>60</v>
      </c>
      <c r="L2" s="4">
        <v>0.2</v>
      </c>
      <c r="M2" s="3">
        <f t="shared" ref="M2:M8" si="0">K2-(K2*(L2*100/100))</f>
        <v>48</v>
      </c>
    </row>
    <row r="3" spans="1:704" x14ac:dyDescent="0.5">
      <c r="A3" t="s">
        <v>5</v>
      </c>
      <c r="B3" s="2">
        <v>7</v>
      </c>
      <c r="C3">
        <v>220</v>
      </c>
      <c r="D3" s="3">
        <f t="shared" ref="D3:D7" si="1">SUM(B3:C3)</f>
        <v>227</v>
      </c>
      <c r="E3" s="3">
        <f>SUM(B2:B4) + SUM(C2:C4) + SUM(SUM(D3:D4),SUM(D5:D6))</f>
        <v>4186</v>
      </c>
      <c r="F3" s="3">
        <f>SUM(SUM(SUM(B2:B3),SUM(B4:B7)), SUM(D2:D3))</f>
        <v>1355</v>
      </c>
      <c r="I3" t="s">
        <v>15</v>
      </c>
      <c r="J3">
        <v>2019</v>
      </c>
      <c r="K3" s="2">
        <v>60</v>
      </c>
      <c r="L3" s="4">
        <v>0.4</v>
      </c>
      <c r="M3" s="3">
        <f t="shared" si="0"/>
        <v>36</v>
      </c>
    </row>
    <row r="4" spans="1:704" x14ac:dyDescent="0.5">
      <c r="A4" t="s">
        <v>6</v>
      </c>
      <c r="B4" s="2">
        <v>3</v>
      </c>
      <c r="C4">
        <v>31</v>
      </c>
      <c r="D4" s="3">
        <f>SUM(B4:C4)</f>
        <v>34</v>
      </c>
      <c r="F4" s="3">
        <f>SUM(B2:B4) + SUM(C2:C4)</f>
        <v>1366</v>
      </c>
      <c r="I4" t="s">
        <v>16</v>
      </c>
      <c r="J4">
        <v>2018</v>
      </c>
      <c r="K4" s="2">
        <v>60</v>
      </c>
      <c r="L4" s="4">
        <v>0.5</v>
      </c>
      <c r="M4" s="3">
        <f t="shared" si="0"/>
        <v>30</v>
      </c>
    </row>
    <row r="5" spans="1:704" x14ac:dyDescent="0.5">
      <c r="A5" t="s">
        <v>7</v>
      </c>
      <c r="B5" s="2">
        <v>2</v>
      </c>
      <c r="C5">
        <v>2555</v>
      </c>
      <c r="D5" s="3">
        <f t="shared" si="1"/>
        <v>2557</v>
      </c>
      <c r="I5" t="s">
        <v>17</v>
      </c>
      <c r="J5">
        <v>2020</v>
      </c>
      <c r="K5" s="2">
        <v>60</v>
      </c>
      <c r="L5" s="4">
        <v>0.7</v>
      </c>
      <c r="M5" s="3">
        <f t="shared" si="0"/>
        <v>18</v>
      </c>
    </row>
    <row r="6" spans="1:704" x14ac:dyDescent="0.5">
      <c r="A6" t="s">
        <v>8</v>
      </c>
      <c r="B6" s="2">
        <v>1</v>
      </c>
      <c r="C6">
        <v>1</v>
      </c>
      <c r="D6" s="3">
        <f t="shared" si="1"/>
        <v>2</v>
      </c>
      <c r="I6" t="s">
        <v>18</v>
      </c>
      <c r="J6">
        <v>2020</v>
      </c>
      <c r="K6" s="2">
        <v>60</v>
      </c>
      <c r="L6" s="4">
        <v>0.1</v>
      </c>
      <c r="M6" s="3">
        <f t="shared" si="0"/>
        <v>54</v>
      </c>
    </row>
    <row r="7" spans="1:704" x14ac:dyDescent="0.5">
      <c r="A7" t="s">
        <v>9</v>
      </c>
      <c r="B7" s="2">
        <v>5</v>
      </c>
      <c r="C7">
        <v>6</v>
      </c>
      <c r="D7" s="3">
        <f t="shared" si="1"/>
        <v>11</v>
      </c>
      <c r="I7" t="s">
        <v>19</v>
      </c>
      <c r="J7">
        <v>2017</v>
      </c>
      <c r="K7" s="2">
        <v>60</v>
      </c>
      <c r="L7" s="4">
        <v>0.8</v>
      </c>
      <c r="M7" s="3">
        <f t="shared" si="0"/>
        <v>12</v>
      </c>
    </row>
    <row r="8" spans="1:704" x14ac:dyDescent="0.5">
      <c r="I8" t="s">
        <v>20</v>
      </c>
      <c r="J8">
        <v>2018</v>
      </c>
      <c r="K8" s="2">
        <v>60</v>
      </c>
      <c r="L8" s="4">
        <v>0.35</v>
      </c>
      <c r="M8" s="3">
        <f t="shared" si="0"/>
        <v>39</v>
      </c>
    </row>
    <row r="87" spans="87:87" x14ac:dyDescent="0.5">
      <c r="CI87" t="s">
        <v>28</v>
      </c>
    </row>
  </sheetData>
  <pageMargins left="0.7" right="0.7" top="0.75" bottom="0.75" header="0.3" footer="0.3"/>
  <pageSetup paperSize="9" orientation="portrait"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7"/>
  <sheetViews>
    <sheetView workbookViewId="0">
      <selection activeCell="M2" sqref="M2"/>
    </sheetView>
  </sheetViews>
  <sheetFormatPr defaultRowHeight="16.5" x14ac:dyDescent="0.5"/>
  <cols>
    <col min="14" max="14" width="9.26953125" bestFit="1" customWidth="1"/>
  </cols>
  <sheetData>
    <row r="1" spans="1:14" x14ac:dyDescent="0.5">
      <c r="A1" t="s">
        <v>0</v>
      </c>
      <c r="B1" t="s">
        <v>21</v>
      </c>
      <c r="C1" t="s">
        <v>22</v>
      </c>
      <c r="D1" t="s">
        <v>23</v>
      </c>
      <c r="F1" t="s">
        <v>24</v>
      </c>
      <c r="G1" t="s">
        <v>24</v>
      </c>
      <c r="M1" t="s">
        <v>26</v>
      </c>
      <c r="N1" t="s">
        <v>25</v>
      </c>
    </row>
    <row r="2" spans="1:14" x14ac:dyDescent="0.5">
      <c r="A2" t="e">
        <f>CHAR(Sheet1!A2)</f>
        <v>#VALUE!</v>
      </c>
      <c r="B2" t="e" cm="1">
        <f t="array" ref="B2">Sheet</f>
        <v>#NAME?</v>
      </c>
      <c r="C2">
        <f>IF((D2 &gt; F2), SUM(D2:D7), SUM(F2:F7))</f>
        <v>230</v>
      </c>
      <c r="D2" s="3">
        <f>Sheet1!B2 * 10</f>
        <v>50</v>
      </c>
      <c r="F2" s="3">
        <f>D2/100</f>
        <v>0.5</v>
      </c>
      <c r="J2" s="3"/>
      <c r="M2">
        <f>SUM(Sheet1!C2:'Sheet1'!C7)</f>
        <v>3913</v>
      </c>
      <c r="N2" s="3">
        <f>SUM(D2:D7)</f>
        <v>230</v>
      </c>
    </row>
    <row r="3" spans="1:14" x14ac:dyDescent="0.5">
      <c r="A3" t="e">
        <f>CHAR(Sheet1!A3)</f>
        <v>#VALUE!</v>
      </c>
      <c r="B3" t="e" cm="1">
        <f t="array" ref="B3">Sheet</f>
        <v>#NAME?</v>
      </c>
      <c r="C3" t="e">
        <f t="shared" ref="C3:C7" si="0">1/0</f>
        <v>#DIV/0!</v>
      </c>
      <c r="D3" s="3">
        <f>Sheet1!B3 * 10</f>
        <v>70</v>
      </c>
      <c r="F3" s="3">
        <f t="shared" ref="F3:F7" si="1">D3/100</f>
        <v>0.7</v>
      </c>
      <c r="J3" s="3"/>
    </row>
    <row r="4" spans="1:14" x14ac:dyDescent="0.5">
      <c r="A4" t="e">
        <f>CHAR(Sheet1!A4)</f>
        <v>#VALUE!</v>
      </c>
      <c r="B4" t="e" cm="1">
        <f t="array" ref="B4">Sheet</f>
        <v>#NAME?</v>
      </c>
      <c r="C4" t="e">
        <f t="shared" si="0"/>
        <v>#DIV/0!</v>
      </c>
      <c r="D4" s="3">
        <f>Sheet1!B4 * 10</f>
        <v>30</v>
      </c>
      <c r="F4" s="3">
        <f t="shared" si="1"/>
        <v>0.3</v>
      </c>
      <c r="J4" s="3"/>
    </row>
    <row r="5" spans="1:14" x14ac:dyDescent="0.5">
      <c r="A5" t="e">
        <f>CHAR(Sheet1!A5)</f>
        <v>#VALUE!</v>
      </c>
      <c r="B5" t="e" cm="1">
        <f t="array" ref="B5">Sheet</f>
        <v>#NAME?</v>
      </c>
      <c r="C5" t="e">
        <f t="shared" si="0"/>
        <v>#DIV/0!</v>
      </c>
      <c r="D5" s="3">
        <f>Sheet1!B5 * 10</f>
        <v>20</v>
      </c>
      <c r="F5" s="3">
        <f t="shared" si="1"/>
        <v>0.2</v>
      </c>
      <c r="J5" s="3"/>
    </row>
    <row r="6" spans="1:14" x14ac:dyDescent="0.5">
      <c r="A6" t="e">
        <f>CHAR(Sheet1!A6)</f>
        <v>#VALUE!</v>
      </c>
      <c r="B6" t="e" cm="1">
        <f t="array" ref="B6">Sheet</f>
        <v>#NAME?</v>
      </c>
      <c r="C6" t="e">
        <f t="shared" si="0"/>
        <v>#DIV/0!</v>
      </c>
      <c r="D6" s="3">
        <f>Sheet1!B6 * 10</f>
        <v>10</v>
      </c>
      <c r="F6" s="3">
        <f t="shared" si="1"/>
        <v>0.1</v>
      </c>
      <c r="J6" s="3"/>
    </row>
    <row r="7" spans="1:14" x14ac:dyDescent="0.5">
      <c r="A7" t="e">
        <f>CHAR(Sheet1!A7)</f>
        <v>#VALUE!</v>
      </c>
      <c r="B7" t="e" cm="1">
        <f t="array" ref="B7">Sheet</f>
        <v>#NAME?</v>
      </c>
      <c r="C7" t="e">
        <f t="shared" si="0"/>
        <v>#DIV/0!</v>
      </c>
      <c r="D7" s="3">
        <f>Sheet1!B7 * 10</f>
        <v>50</v>
      </c>
      <c r="F7" s="3">
        <f t="shared" si="1"/>
        <v>0.5</v>
      </c>
      <c r="J7"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43676</dc:creator>
  <cp:lastModifiedBy>43676</cp:lastModifiedBy>
  <dcterms:created xsi:type="dcterms:W3CDTF">2020-09-30T15:03:27Z</dcterms:created>
  <dcterms:modified xsi:type="dcterms:W3CDTF">2021-01-08T23:56:49Z</dcterms:modified>
</cp:coreProperties>
</file>