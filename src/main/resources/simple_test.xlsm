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316AF4FF-6532-DD95-964C-923D217D005E}"/>
  <workbookPr codeName="ThisWorkbook"/>
  <mc:AlternateContent xmlns:mc="http://schemas.openxmlformats.org/markup-compatibility/2006">
    <mc:Choice Requires="x15">
      <x15ac:absPath xmlns:x15ac="http://schemas.microsoft.com/office/spreadsheetml/2010/11/ac" url="C:\Users\43676\Documents\GitHub\excel_RDF\src\main\resources\"/>
    </mc:Choice>
  </mc:AlternateContent>
  <xr:revisionPtr revIDLastSave="0" documentId="13_ncr:1_{024D6815-8667-45EE-BC9B-E6322CCB89A5}" xr6:coauthVersionLast="45" xr6:coauthVersionMax="45" xr10:uidLastSave="{00000000-0000-0000-0000-000000000000}"/>
  <bookViews>
    <workbookView xWindow="-110" yWindow="-110" windowWidth="19420" windowHeight="11020" xr2:uid="{00000000-000D-0000-FFFF-FFFF00000000}"/>
  </bookViews>
  <sheets>
    <sheet name="Sheet1" sheetId="1" r:id="rId1"/>
    <sheet name="Sheet2"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3" i="1" l="1"/>
  <c r="F2" i="1"/>
  <c r="M2" i="2" l="1"/>
  <c r="N2" i="2"/>
  <c r="C2" i="2"/>
  <c r="D4" i="1"/>
  <c r="F3" i="2" l="1"/>
  <c r="F4" i="2"/>
  <c r="F5" i="2"/>
  <c r="F6" i="2"/>
  <c r="F7" i="2"/>
  <c r="F2" i="2"/>
  <c r="D3" i="2" l="1"/>
  <c r="D4" i="2"/>
  <c r="D5" i="2"/>
  <c r="D6" i="2"/>
  <c r="D7" i="2"/>
  <c r="D2" i="2"/>
  <c r="C3" i="2"/>
  <c r="C4" i="2"/>
  <c r="C5" i="2"/>
  <c r="C6" i="2"/>
  <c r="C7" i="2"/>
  <c r="B3" i="2" a="1"/>
  <c r="B3" i="2"/>
  <c r="B4" i="2" a="1"/>
  <c r="B4" i="2" s="1"/>
  <c r="B5" i="2" a="1"/>
  <c r="B5" i="2" s="1"/>
  <c r="B6" i="2" a="1"/>
  <c r="B6" i="2" s="1"/>
  <c r="B7" i="2" a="1"/>
  <c r="B7" i="2" s="1"/>
  <c r="B2" i="2" a="1"/>
  <c r="B2" i="2" s="1"/>
  <c r="A3" i="2"/>
  <c r="A4" i="2"/>
  <c r="A5" i="2"/>
  <c r="A6" i="2"/>
  <c r="A7" i="2"/>
  <c r="A2" i="2"/>
  <c r="M2" i="1"/>
  <c r="M3" i="1"/>
  <c r="M4" i="1"/>
  <c r="M5" i="1"/>
  <c r="M6" i="1"/>
  <c r="M7" i="1"/>
  <c r="M8" i="1"/>
  <c r="D3" i="1"/>
  <c r="D5" i="1"/>
  <c r="D6" i="1"/>
  <c r="D7" i="1"/>
  <c r="D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tc={DEBB5416-7B33-4729-BC22-158E417639C5}</author>
  </authors>
  <commentList>
    <comment ref="B2" authorId="0" shapeId="0" xr:uid="{00000000-0006-0000-0000-000001000000}">
      <text>
        <t>[Threaded comment]
Your version of Excel allows you to read this threaded comment; however, any edits to it will get removed if the file is opened in a newer version of Excel. Learn more: https://go.microsoft.com/fwlink/?linkid=870924
Comment:
    Overpriced</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<sst xmlns="http://schemas.openxmlformats.org/spreadsheetml/2006/main" count="31" uniqueCount="28">
  <si>
    <t>Produkt</t>
  </si>
  <si>
    <t>Price</t>
  </si>
  <si>
    <t>Quantity</t>
  </si>
  <si>
    <t>Bread</t>
  </si>
  <si>
    <t>Total Value</t>
  </si>
  <si>
    <t>Cookies</t>
  </si>
  <si>
    <t>Chocolate</t>
  </si>
  <si>
    <t>Sugar</t>
  </si>
  <si>
    <t>Egg</t>
  </si>
  <si>
    <t>Ketchup</t>
  </si>
  <si>
    <t>Games</t>
  </si>
  <si>
    <t>Year Released</t>
  </si>
  <si>
    <t>Discount</t>
  </si>
  <si>
    <t>Price After</t>
  </si>
  <si>
    <t>Fifa</t>
  </si>
  <si>
    <t>Resident Evil</t>
  </si>
  <si>
    <t>Fallout</t>
  </si>
  <si>
    <t>Football Manager</t>
  </si>
  <si>
    <t>Last of Us</t>
  </si>
  <si>
    <t>GTA</t>
  </si>
  <si>
    <t>After Dawn</t>
  </si>
  <si>
    <t>Buy-Price</t>
  </si>
  <si>
    <t>Sell-Price</t>
  </si>
  <si>
    <t>Inflation</t>
  </si>
  <si>
    <t>SomeCalculation</t>
  </si>
  <si>
    <t>test</t>
  </si>
  <si>
    <t>test2</t>
  </si>
  <si>
    <t>TestIF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</si>
</sst>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 #,##0.00_-;\-&quot;€&quot;\ * #,##0.00_-;_-&quot;€&quot;\ * &quot;-&quot;??_-;_-@_-"/>
  </numFmts>
  <fonts count="3" x14ac:knownFonts="1">
    <font>
      <sz val="11"/>
      <color theme="1"/>
      <name val="Gill Sans MT"/>
      <family val="2"/>
      <scheme val="minor"/>
    </font>
    <font>
      <sz val="11"/>
      <color theme="1"/>
      <name val="Gill Sans MT"/>
      <family val="2"/>
      <scheme val="minor"/>
    </font>
    <font>
      <b/>
      <sz val="11"/>
      <color theme="1"/>
      <name val="Gill Sans MT"/>
      <family val="2"/>
      <scheme val="minor"/>
    </font>
  </fonts>
  <fills count="2">
    <fill>
      <patternFill patternType="none"/>
    </fill>
    <fill>
      <patternFill patternType="gray125"/>
    </fill>
  </fills>
  <borders count="1">
    <border>
      <left/>
      <right/>
      <top/>
      <bottom/>
      <diagonal/>
    </border>
  </borders>
  <cellStyleXfs count="3">
    <xf numFmtId="0" fontId="0" fillId="0" borderId="0"/>
    <xf numFmtId="44" fontId="1" fillId="0" borderId="0" applyFont="0" applyFill="0" applyBorder="0" applyAlignment="0" applyProtection="0"/>
    <xf numFmtId="9" fontId="1" fillId="0" borderId="0" applyFont="0" applyFill="0" applyBorder="0" applyAlignment="0" applyProtection="0"/>
  </cellStyleXfs>
  <cellXfs count="5">
    <xf numFmtId="0" fontId="0" fillId="0" borderId="0" xfId="0"/>
    <xf numFmtId="0" fontId="2" fillId="0" borderId="0" xfId="0" applyFont="1"/>
    <xf numFmtId="44" fontId="0" fillId="0" borderId="0" xfId="1" applyFont="1"/>
    <xf numFmtId="44" fontId="0" fillId="0" borderId="0" xfId="0" applyNumberFormat="1"/>
    <xf numFmtId="9" fontId="0" fillId="0" borderId="0" xfId="2" applyFont="1"/>
  </cellXfs>
  <cellStyles count="3">
    <cellStyle name="Currency" xfId="1" builtinId="4"/>
    <cellStyle name="Normal" xfId="0" builtinId="0"/>
    <cellStyle name="Percent" xfId="2" builtinId="5"/>
  </cellStyles>
  <dxfs count="1">
    <dxf>
      <numFmt numFmtId="34" formatCode="_-&quot;€&quot;\ * #,##0.00_-;\-&quot;€&quot;\ * #,##0.00_-;_-&quot;€&quot;\ * &quot;-&quot;??_-;_-@_-"/>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theme" Target="theme/theme1.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AT"/>
        </a:p>
      </c:txPr>
    </c:title>
    <c:autoTitleDeleted val="0"/>
    <c:plotArea>
      <c:layout/>
      <c:pieChart>
        <c:varyColors val="1"/>
        <c:ser>
          <c:idx val="2"/>
          <c:order val="2"/>
          <c:tx>
            <c:strRef>
              <c:f>Sheet1!$L$1</c:f>
              <c:strCache>
                <c:ptCount val="1"/>
                <c:pt idx="0">
                  <c:v>Discount</c:v>
                </c:pt>
              </c:strCache>
            </c:strRef>
          </c:tx>
          <c:spPr>
            <a:ln w="25400">
              <a:noFill/>
            </a:ln>
          </c:spPr>
          <c:dPt>
            <c:idx val="0"/>
            <c:bubble3D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1-FB53-4D19-802A-A3EC8E2E4411}"/>
              </c:ext>
            </c:extLst>
          </c:dPt>
          <c:dPt>
            <c:idx val="1"/>
            <c:bubble3D val="0"/>
            <c:spPr>
              <a:gradFill rotWithShape="1">
                <a:gsLst>
                  <a:gs pos="0">
                    <a:schemeClr val="accent2">
                      <a:tint val="94000"/>
                      <a:satMod val="103000"/>
                      <a:lumMod val="102000"/>
                    </a:schemeClr>
                  </a:gs>
                  <a:gs pos="50000">
                    <a:schemeClr val="accent2">
                      <a:shade val="100000"/>
                      <a:satMod val="110000"/>
                      <a:lumMod val="100000"/>
                    </a:schemeClr>
                  </a:gs>
                  <a:gs pos="100000">
                    <a:schemeClr val="accent2">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3-FB53-4D19-802A-A3EC8E2E4411}"/>
              </c:ext>
            </c:extLst>
          </c:dPt>
          <c:dPt>
            <c:idx val="2"/>
            <c:bubble3D val="0"/>
            <c:spPr>
              <a:gradFill rotWithShape="1">
                <a:gsLst>
                  <a:gs pos="0">
                    <a:schemeClr val="accent3">
                      <a:tint val="94000"/>
                      <a:satMod val="103000"/>
                      <a:lumMod val="102000"/>
                    </a:schemeClr>
                  </a:gs>
                  <a:gs pos="50000">
                    <a:schemeClr val="accent3">
                      <a:shade val="100000"/>
                      <a:satMod val="110000"/>
                      <a:lumMod val="100000"/>
                    </a:schemeClr>
                  </a:gs>
                  <a:gs pos="100000">
                    <a:schemeClr val="accent3">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5-FB53-4D19-802A-A3EC8E2E4411}"/>
              </c:ext>
            </c:extLst>
          </c:dPt>
          <c:dPt>
            <c:idx val="3"/>
            <c:bubble3D val="0"/>
            <c:spPr>
              <a:gradFill rotWithShape="1">
                <a:gsLst>
                  <a:gs pos="0">
                    <a:schemeClr val="accent4">
                      <a:tint val="94000"/>
                      <a:satMod val="103000"/>
                      <a:lumMod val="102000"/>
                    </a:schemeClr>
                  </a:gs>
                  <a:gs pos="50000">
                    <a:schemeClr val="accent4">
                      <a:shade val="100000"/>
                      <a:satMod val="110000"/>
                      <a:lumMod val="100000"/>
                    </a:schemeClr>
                  </a:gs>
                  <a:gs pos="100000">
                    <a:schemeClr val="accent4">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7-FB53-4D19-802A-A3EC8E2E4411}"/>
              </c:ext>
            </c:extLst>
          </c:dPt>
          <c:dPt>
            <c:idx val="4"/>
            <c:bubble3D val="0"/>
            <c:spPr>
              <a:gradFill rotWithShape="1">
                <a:gsLst>
                  <a:gs pos="0">
                    <a:schemeClr val="accent5">
                      <a:tint val="94000"/>
                      <a:satMod val="103000"/>
                      <a:lumMod val="102000"/>
                    </a:schemeClr>
                  </a:gs>
                  <a:gs pos="50000">
                    <a:schemeClr val="accent5">
                      <a:shade val="100000"/>
                      <a:satMod val="110000"/>
                      <a:lumMod val="100000"/>
                    </a:schemeClr>
                  </a:gs>
                  <a:gs pos="100000">
                    <a:schemeClr val="accent5">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9-FB53-4D19-802A-A3EC8E2E4411}"/>
              </c:ext>
            </c:extLst>
          </c:dPt>
          <c:dPt>
            <c:idx val="5"/>
            <c:bubble3D val="0"/>
            <c:spPr>
              <a:gradFill rotWithShape="1">
                <a:gsLst>
                  <a:gs pos="0">
                    <a:schemeClr val="accent6">
                      <a:tint val="94000"/>
                      <a:satMod val="103000"/>
                      <a:lumMod val="102000"/>
                    </a:schemeClr>
                  </a:gs>
                  <a:gs pos="50000">
                    <a:schemeClr val="accent6">
                      <a:shade val="100000"/>
                      <a:satMod val="110000"/>
                      <a:lumMod val="100000"/>
                    </a:schemeClr>
                  </a:gs>
                  <a:gs pos="100000">
                    <a:schemeClr val="accent6">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B-FB53-4D19-802A-A3EC8E2E4411}"/>
              </c:ext>
            </c:extLst>
          </c:dPt>
          <c:dPt>
            <c:idx val="6"/>
            <c:bubble3D val="0"/>
            <c:spPr>
              <a:gradFill rotWithShape="1">
                <a:gsLst>
                  <a:gs pos="0">
                    <a:schemeClr val="accent1">
                      <a:lumMod val="60000"/>
                      <a:tint val="94000"/>
                      <a:satMod val="103000"/>
                      <a:lumMod val="102000"/>
                    </a:schemeClr>
                  </a:gs>
                  <a:gs pos="50000">
                    <a:schemeClr val="accent1">
                      <a:lumMod val="60000"/>
                      <a:shade val="100000"/>
                      <a:satMod val="110000"/>
                      <a:lumMod val="100000"/>
                    </a:schemeClr>
                  </a:gs>
                  <a:gs pos="100000">
                    <a:schemeClr val="accent1">
                      <a:lumMod val="60000"/>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D-FB53-4D19-802A-A3EC8E2E441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AT"/>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Sheet1!$I$2:$I$8</c:f>
              <c:strCache>
                <c:ptCount val="7"/>
                <c:pt idx="0">
                  <c:v>Fifa</c:v>
                </c:pt>
                <c:pt idx="1">
                  <c:v>Resident Evil</c:v>
                </c:pt>
                <c:pt idx="2">
                  <c:v>Fallout</c:v>
                </c:pt>
                <c:pt idx="3">
                  <c:v>Football Manager</c:v>
                </c:pt>
                <c:pt idx="4">
                  <c:v>Last of Us</c:v>
                </c:pt>
                <c:pt idx="5">
                  <c:v>GTA</c:v>
                </c:pt>
                <c:pt idx="6">
                  <c:v>After Dawn</c:v>
                </c:pt>
              </c:strCache>
            </c:strRef>
          </c:cat>
          <c:val>
            <c:numRef>
              <c:f>Sheet1!$L$2:$L$8</c:f>
              <c:numCache>
                <c:formatCode>0%</c:formatCode>
                <c:ptCount val="7"/>
                <c:pt idx="0">
                  <c:v>0.2</c:v>
                </c:pt>
                <c:pt idx="1">
                  <c:v>0.4</c:v>
                </c:pt>
                <c:pt idx="2">
                  <c:v>0.5</c:v>
                </c:pt>
                <c:pt idx="3">
                  <c:v>0.7</c:v>
                </c:pt>
                <c:pt idx="4">
                  <c:v>0.1</c:v>
                </c:pt>
                <c:pt idx="5">
                  <c:v>0.8</c:v>
                </c:pt>
                <c:pt idx="6">
                  <c:v>0.35</c:v>
                </c:pt>
              </c:numCache>
            </c:numRef>
          </c:val>
          <c:extLst>
            <c:ext xmlns:c16="http://schemas.microsoft.com/office/drawing/2014/chart" uri="{C3380CC4-5D6E-409C-BE32-E72D297353CC}">
              <c16:uniqueId val="{00000002-EF58-413A-9B45-06B63F587447}"/>
            </c:ext>
          </c:extLst>
        </c:ser>
        <c:dLbls>
          <c:showLegendKey val="0"/>
          <c:showVal val="0"/>
          <c:showCatName val="0"/>
          <c:showSerName val="0"/>
          <c:showPercent val="0"/>
          <c:showBubbleSize val="0"/>
          <c:showLeaderLines val="1"/>
        </c:dLbls>
        <c:firstSliceAng val="0"/>
        <c:extLst>
          <c:ext xmlns:c15="http://schemas.microsoft.com/office/drawing/2012/chart" uri="{02D57815-91ED-43cb-92C2-25804820EDAC}">
            <c15:filteredPieSeries>
              <c15:ser>
                <c:idx val="0"/>
                <c:order val="0"/>
                <c:tx>
                  <c:strRef>
                    <c:extLst>
                      <c:ext uri="{02D57815-91ED-43cb-92C2-25804820EDAC}">
                        <c15:formulaRef>
                          <c15:sqref>Sheet1!$J$1</c15:sqref>
                        </c15:formulaRef>
                      </c:ext>
                    </c:extLst>
                    <c:strCache>
                      <c:ptCount val="1"/>
                      <c:pt idx="0">
                        <c:v>Year Released</c:v>
                      </c:pt>
                    </c:strCache>
                  </c:strRef>
                </c:tx>
                <c:spPr>
                  <a:ln w="25400">
                    <a:noFill/>
                  </a:ln>
                </c:spPr>
                <c:dPt>
                  <c:idx val="0"/>
                  <c:bubble3D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F-FB53-4D19-802A-A3EC8E2E4411}"/>
                    </c:ext>
                  </c:extLst>
                </c:dPt>
                <c:dPt>
                  <c:idx val="1"/>
                  <c:bubble3D val="0"/>
                  <c:spPr>
                    <a:gradFill rotWithShape="1">
                      <a:gsLst>
                        <a:gs pos="0">
                          <a:schemeClr val="accent2">
                            <a:tint val="94000"/>
                            <a:satMod val="103000"/>
                            <a:lumMod val="102000"/>
                          </a:schemeClr>
                        </a:gs>
                        <a:gs pos="50000">
                          <a:schemeClr val="accent2">
                            <a:shade val="100000"/>
                            <a:satMod val="110000"/>
                            <a:lumMod val="100000"/>
                          </a:schemeClr>
                        </a:gs>
                        <a:gs pos="100000">
                          <a:schemeClr val="accent2">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11-FB53-4D19-802A-A3EC8E2E4411}"/>
                    </c:ext>
                  </c:extLst>
                </c:dPt>
                <c:dPt>
                  <c:idx val="2"/>
                  <c:bubble3D val="0"/>
                  <c:spPr>
                    <a:gradFill rotWithShape="1">
                      <a:gsLst>
                        <a:gs pos="0">
                          <a:schemeClr val="accent3">
                            <a:tint val="94000"/>
                            <a:satMod val="103000"/>
                            <a:lumMod val="102000"/>
                          </a:schemeClr>
                        </a:gs>
                        <a:gs pos="50000">
                          <a:schemeClr val="accent3">
                            <a:shade val="100000"/>
                            <a:satMod val="110000"/>
                            <a:lumMod val="100000"/>
                          </a:schemeClr>
                        </a:gs>
                        <a:gs pos="100000">
                          <a:schemeClr val="accent3">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13-FB53-4D19-802A-A3EC8E2E4411}"/>
                    </c:ext>
                  </c:extLst>
                </c:dPt>
                <c:dPt>
                  <c:idx val="3"/>
                  <c:bubble3D val="0"/>
                  <c:spPr>
                    <a:gradFill rotWithShape="1">
                      <a:gsLst>
                        <a:gs pos="0">
                          <a:schemeClr val="accent4">
                            <a:tint val="94000"/>
                            <a:satMod val="103000"/>
                            <a:lumMod val="102000"/>
                          </a:schemeClr>
                        </a:gs>
                        <a:gs pos="50000">
                          <a:schemeClr val="accent4">
                            <a:shade val="100000"/>
                            <a:satMod val="110000"/>
                            <a:lumMod val="100000"/>
                          </a:schemeClr>
                        </a:gs>
                        <a:gs pos="100000">
                          <a:schemeClr val="accent4">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15-FB53-4D19-802A-A3EC8E2E4411}"/>
                    </c:ext>
                  </c:extLst>
                </c:dPt>
                <c:dPt>
                  <c:idx val="4"/>
                  <c:bubble3D val="0"/>
                  <c:spPr>
                    <a:gradFill rotWithShape="1">
                      <a:gsLst>
                        <a:gs pos="0">
                          <a:schemeClr val="accent5">
                            <a:tint val="94000"/>
                            <a:satMod val="103000"/>
                            <a:lumMod val="102000"/>
                          </a:schemeClr>
                        </a:gs>
                        <a:gs pos="50000">
                          <a:schemeClr val="accent5">
                            <a:shade val="100000"/>
                            <a:satMod val="110000"/>
                            <a:lumMod val="100000"/>
                          </a:schemeClr>
                        </a:gs>
                        <a:gs pos="100000">
                          <a:schemeClr val="accent5">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17-FB53-4D19-802A-A3EC8E2E4411}"/>
                    </c:ext>
                  </c:extLst>
                </c:dPt>
                <c:dPt>
                  <c:idx val="5"/>
                  <c:bubble3D val="0"/>
                  <c:spPr>
                    <a:gradFill rotWithShape="1">
                      <a:gsLst>
                        <a:gs pos="0">
                          <a:schemeClr val="accent6">
                            <a:tint val="94000"/>
                            <a:satMod val="103000"/>
                            <a:lumMod val="102000"/>
                          </a:schemeClr>
                        </a:gs>
                        <a:gs pos="50000">
                          <a:schemeClr val="accent6">
                            <a:shade val="100000"/>
                            <a:satMod val="110000"/>
                            <a:lumMod val="100000"/>
                          </a:schemeClr>
                        </a:gs>
                        <a:gs pos="100000">
                          <a:schemeClr val="accent6">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19-FB53-4D19-802A-A3EC8E2E4411}"/>
                    </c:ext>
                  </c:extLst>
                </c:dPt>
                <c:dPt>
                  <c:idx val="6"/>
                  <c:bubble3D val="0"/>
                  <c:spPr>
                    <a:gradFill rotWithShape="1">
                      <a:gsLst>
                        <a:gs pos="0">
                          <a:schemeClr val="accent1">
                            <a:lumMod val="60000"/>
                            <a:tint val="94000"/>
                            <a:satMod val="103000"/>
                            <a:lumMod val="102000"/>
                          </a:schemeClr>
                        </a:gs>
                        <a:gs pos="50000">
                          <a:schemeClr val="accent1">
                            <a:lumMod val="60000"/>
                            <a:shade val="100000"/>
                            <a:satMod val="110000"/>
                            <a:lumMod val="100000"/>
                          </a:schemeClr>
                        </a:gs>
                        <a:gs pos="100000">
                          <a:schemeClr val="accent1">
                            <a:lumMod val="60000"/>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1B-FB53-4D19-802A-A3EC8E2E441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AT"/>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uri="{CE6537A1-D6FC-4f65-9D91-7224C49458BB}"/>
                  </c:extLst>
                </c:dLbls>
                <c:cat>
                  <c:strRef>
                    <c:extLst>
                      <c:ext uri="{02D57815-91ED-43cb-92C2-25804820EDAC}">
                        <c15:formulaRef>
                          <c15:sqref>Sheet1!$I$2:$I$8</c15:sqref>
                        </c15:formulaRef>
                      </c:ext>
                    </c:extLst>
                    <c:strCache>
                      <c:ptCount val="7"/>
                      <c:pt idx="0">
                        <c:v>Fifa</c:v>
                      </c:pt>
                      <c:pt idx="1">
                        <c:v>Resident Evil</c:v>
                      </c:pt>
                      <c:pt idx="2">
                        <c:v>Fallout</c:v>
                      </c:pt>
                      <c:pt idx="3">
                        <c:v>Football Manager</c:v>
                      </c:pt>
                      <c:pt idx="4">
                        <c:v>Last of Us</c:v>
                      </c:pt>
                      <c:pt idx="5">
                        <c:v>GTA</c:v>
                      </c:pt>
                      <c:pt idx="6">
                        <c:v>After Dawn</c:v>
                      </c:pt>
                    </c:strCache>
                  </c:strRef>
                </c:cat>
                <c:val>
                  <c:numRef>
                    <c:extLst>
                      <c:ext uri="{02D57815-91ED-43cb-92C2-25804820EDAC}">
                        <c15:formulaRef>
                          <c15:sqref>Sheet1!$J$2:$J$8</c15:sqref>
                        </c15:formulaRef>
                      </c:ext>
                    </c:extLst>
                    <c:numCache>
                      <c:formatCode>General</c:formatCode>
                      <c:ptCount val="7"/>
                      <c:pt idx="0">
                        <c:v>2020</c:v>
                      </c:pt>
                      <c:pt idx="1">
                        <c:v>2019</c:v>
                      </c:pt>
                      <c:pt idx="2">
                        <c:v>2018</c:v>
                      </c:pt>
                      <c:pt idx="3">
                        <c:v>2020</c:v>
                      </c:pt>
                      <c:pt idx="4">
                        <c:v>2020</c:v>
                      </c:pt>
                      <c:pt idx="5">
                        <c:v>2017</c:v>
                      </c:pt>
                      <c:pt idx="6">
                        <c:v>2018</c:v>
                      </c:pt>
                    </c:numCache>
                  </c:numRef>
                </c:val>
                <c:extLst>
                  <c:ext xmlns:c16="http://schemas.microsoft.com/office/drawing/2014/chart" uri="{C3380CC4-5D6E-409C-BE32-E72D297353CC}">
                    <c16:uniqueId val="{00000000-EF58-413A-9B45-06B63F587447}"/>
                  </c:ext>
                </c:extLst>
              </c15:ser>
            </c15:filteredPieSeries>
            <c15:filteredPieSeries>
              <c15:ser>
                <c:idx val="1"/>
                <c:order val="1"/>
                <c:tx>
                  <c:strRef>
                    <c:extLst>
                      <c:ext xmlns:c15="http://schemas.microsoft.com/office/drawing/2012/chart" uri="{02D57815-91ED-43cb-92C2-25804820EDAC}">
                        <c15:formulaRef>
                          <c15:sqref>Sheet1!$K$1</c15:sqref>
                        </c15:formulaRef>
                      </c:ext>
                    </c:extLst>
                    <c:strCache>
                      <c:ptCount val="1"/>
                      <c:pt idx="0">
                        <c:v>Price</c:v>
                      </c:pt>
                    </c:strCache>
                  </c:strRef>
                </c:tx>
                <c:spPr>
                  <a:ln w="25400">
                    <a:noFill/>
                  </a:ln>
                </c:spPr>
                <c:dPt>
                  <c:idx val="0"/>
                  <c:bubble3D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1D-FB53-4D19-802A-A3EC8E2E4411}"/>
                    </c:ext>
                  </c:extLst>
                </c:dPt>
                <c:dPt>
                  <c:idx val="1"/>
                  <c:bubble3D val="0"/>
                  <c:spPr>
                    <a:gradFill rotWithShape="1">
                      <a:gsLst>
                        <a:gs pos="0">
                          <a:schemeClr val="accent2">
                            <a:tint val="94000"/>
                            <a:satMod val="103000"/>
                            <a:lumMod val="102000"/>
                          </a:schemeClr>
                        </a:gs>
                        <a:gs pos="50000">
                          <a:schemeClr val="accent2">
                            <a:shade val="100000"/>
                            <a:satMod val="110000"/>
                            <a:lumMod val="100000"/>
                          </a:schemeClr>
                        </a:gs>
                        <a:gs pos="100000">
                          <a:schemeClr val="accent2">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1F-FB53-4D19-802A-A3EC8E2E4411}"/>
                    </c:ext>
                  </c:extLst>
                </c:dPt>
                <c:dPt>
                  <c:idx val="2"/>
                  <c:bubble3D val="0"/>
                  <c:spPr>
                    <a:gradFill rotWithShape="1">
                      <a:gsLst>
                        <a:gs pos="0">
                          <a:schemeClr val="accent3">
                            <a:tint val="94000"/>
                            <a:satMod val="103000"/>
                            <a:lumMod val="102000"/>
                          </a:schemeClr>
                        </a:gs>
                        <a:gs pos="50000">
                          <a:schemeClr val="accent3">
                            <a:shade val="100000"/>
                            <a:satMod val="110000"/>
                            <a:lumMod val="100000"/>
                          </a:schemeClr>
                        </a:gs>
                        <a:gs pos="100000">
                          <a:schemeClr val="accent3">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1-FB53-4D19-802A-A3EC8E2E4411}"/>
                    </c:ext>
                  </c:extLst>
                </c:dPt>
                <c:dPt>
                  <c:idx val="3"/>
                  <c:bubble3D val="0"/>
                  <c:spPr>
                    <a:gradFill rotWithShape="1">
                      <a:gsLst>
                        <a:gs pos="0">
                          <a:schemeClr val="accent4">
                            <a:tint val="94000"/>
                            <a:satMod val="103000"/>
                            <a:lumMod val="102000"/>
                          </a:schemeClr>
                        </a:gs>
                        <a:gs pos="50000">
                          <a:schemeClr val="accent4">
                            <a:shade val="100000"/>
                            <a:satMod val="110000"/>
                            <a:lumMod val="100000"/>
                          </a:schemeClr>
                        </a:gs>
                        <a:gs pos="100000">
                          <a:schemeClr val="accent4">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3-FB53-4D19-802A-A3EC8E2E4411}"/>
                    </c:ext>
                  </c:extLst>
                </c:dPt>
                <c:dPt>
                  <c:idx val="4"/>
                  <c:bubble3D val="0"/>
                  <c:spPr>
                    <a:gradFill rotWithShape="1">
                      <a:gsLst>
                        <a:gs pos="0">
                          <a:schemeClr val="accent5">
                            <a:tint val="94000"/>
                            <a:satMod val="103000"/>
                            <a:lumMod val="102000"/>
                          </a:schemeClr>
                        </a:gs>
                        <a:gs pos="50000">
                          <a:schemeClr val="accent5">
                            <a:shade val="100000"/>
                            <a:satMod val="110000"/>
                            <a:lumMod val="100000"/>
                          </a:schemeClr>
                        </a:gs>
                        <a:gs pos="100000">
                          <a:schemeClr val="accent5">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5-FB53-4D19-802A-A3EC8E2E4411}"/>
                    </c:ext>
                  </c:extLst>
                </c:dPt>
                <c:dPt>
                  <c:idx val="5"/>
                  <c:bubble3D val="0"/>
                  <c:spPr>
                    <a:gradFill rotWithShape="1">
                      <a:gsLst>
                        <a:gs pos="0">
                          <a:schemeClr val="accent6">
                            <a:tint val="94000"/>
                            <a:satMod val="103000"/>
                            <a:lumMod val="102000"/>
                          </a:schemeClr>
                        </a:gs>
                        <a:gs pos="50000">
                          <a:schemeClr val="accent6">
                            <a:shade val="100000"/>
                            <a:satMod val="110000"/>
                            <a:lumMod val="100000"/>
                          </a:schemeClr>
                        </a:gs>
                        <a:gs pos="100000">
                          <a:schemeClr val="accent6">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7-FB53-4D19-802A-A3EC8E2E4411}"/>
                    </c:ext>
                  </c:extLst>
                </c:dPt>
                <c:dPt>
                  <c:idx val="6"/>
                  <c:bubble3D val="0"/>
                  <c:spPr>
                    <a:gradFill rotWithShape="1">
                      <a:gsLst>
                        <a:gs pos="0">
                          <a:schemeClr val="accent1">
                            <a:lumMod val="60000"/>
                            <a:tint val="94000"/>
                            <a:satMod val="103000"/>
                            <a:lumMod val="102000"/>
                          </a:schemeClr>
                        </a:gs>
                        <a:gs pos="50000">
                          <a:schemeClr val="accent1">
                            <a:lumMod val="60000"/>
                            <a:shade val="100000"/>
                            <a:satMod val="110000"/>
                            <a:lumMod val="100000"/>
                          </a:schemeClr>
                        </a:gs>
                        <a:gs pos="100000">
                          <a:schemeClr val="accent1">
                            <a:lumMod val="60000"/>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9-FB53-4D19-802A-A3EC8E2E441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AT"/>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ormulaRef>
                          <c15:sqref>Sheet1!$I$2:$I$8</c15:sqref>
                        </c15:formulaRef>
                      </c:ext>
                    </c:extLst>
                    <c:strCache>
                      <c:ptCount val="7"/>
                      <c:pt idx="0">
                        <c:v>Fifa</c:v>
                      </c:pt>
                      <c:pt idx="1">
                        <c:v>Resident Evil</c:v>
                      </c:pt>
                      <c:pt idx="2">
                        <c:v>Fallout</c:v>
                      </c:pt>
                      <c:pt idx="3">
                        <c:v>Football Manager</c:v>
                      </c:pt>
                      <c:pt idx="4">
                        <c:v>Last of Us</c:v>
                      </c:pt>
                      <c:pt idx="5">
                        <c:v>GTA</c:v>
                      </c:pt>
                      <c:pt idx="6">
                        <c:v>After Dawn</c:v>
                      </c:pt>
                    </c:strCache>
                  </c:strRef>
                </c:cat>
                <c:val>
                  <c:numRef>
                    <c:extLst>
                      <c:ext xmlns:c15="http://schemas.microsoft.com/office/drawing/2012/chart" uri="{02D57815-91ED-43cb-92C2-25804820EDAC}">
                        <c15:formulaRef>
                          <c15:sqref>Sheet1!$K$2:$K$8</c15:sqref>
                        </c15:formulaRef>
                      </c:ext>
                    </c:extLst>
                    <c:numCache>
                      <c:formatCode>_("€"* #,##0.00_);_("€"* \(#,##0.00\);_("€"* "-"??_);_(@_)</c:formatCode>
                      <c:ptCount val="7"/>
                      <c:pt idx="0">
                        <c:v>60</c:v>
                      </c:pt>
                      <c:pt idx="1">
                        <c:v>60</c:v>
                      </c:pt>
                      <c:pt idx="2">
                        <c:v>60</c:v>
                      </c:pt>
                      <c:pt idx="3">
                        <c:v>60</c:v>
                      </c:pt>
                      <c:pt idx="4">
                        <c:v>60</c:v>
                      </c:pt>
                      <c:pt idx="5">
                        <c:v>60</c:v>
                      </c:pt>
                      <c:pt idx="6">
                        <c:v>60</c:v>
                      </c:pt>
                    </c:numCache>
                  </c:numRef>
                </c:val>
                <c:extLst xmlns:c15="http://schemas.microsoft.com/office/drawing/2012/chart">
                  <c:ext xmlns:c16="http://schemas.microsoft.com/office/drawing/2014/chart" uri="{C3380CC4-5D6E-409C-BE32-E72D297353CC}">
                    <c16:uniqueId val="{00000001-EF58-413A-9B45-06B63F587447}"/>
                  </c:ext>
                </c:extLst>
              </c15:ser>
            </c15:filteredPieSeries>
            <c15:filteredPieSeries>
              <c15:ser>
                <c:idx val="3"/>
                <c:order val="3"/>
                <c:tx>
                  <c:strRef>
                    <c:extLst>
                      <c:ext xmlns:c15="http://schemas.microsoft.com/office/drawing/2012/chart" uri="{02D57815-91ED-43cb-92C2-25804820EDAC}">
                        <c15:formulaRef>
                          <c15:sqref>Sheet1!$M$1</c15:sqref>
                        </c15:formulaRef>
                      </c:ext>
                    </c:extLst>
                    <c:strCache>
                      <c:ptCount val="1"/>
                      <c:pt idx="0">
                        <c:v>Price After</c:v>
                      </c:pt>
                    </c:strCache>
                  </c:strRef>
                </c:tx>
                <c:spPr>
                  <a:ln w="25400">
                    <a:noFill/>
                  </a:ln>
                </c:spPr>
                <c:dPt>
                  <c:idx val="0"/>
                  <c:bubble3D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B-FB53-4D19-802A-A3EC8E2E4411}"/>
                    </c:ext>
                  </c:extLst>
                </c:dPt>
                <c:dPt>
                  <c:idx val="1"/>
                  <c:bubble3D val="0"/>
                  <c:spPr>
                    <a:gradFill rotWithShape="1">
                      <a:gsLst>
                        <a:gs pos="0">
                          <a:schemeClr val="accent2">
                            <a:tint val="94000"/>
                            <a:satMod val="103000"/>
                            <a:lumMod val="102000"/>
                          </a:schemeClr>
                        </a:gs>
                        <a:gs pos="50000">
                          <a:schemeClr val="accent2">
                            <a:shade val="100000"/>
                            <a:satMod val="110000"/>
                            <a:lumMod val="100000"/>
                          </a:schemeClr>
                        </a:gs>
                        <a:gs pos="100000">
                          <a:schemeClr val="accent2">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D-FB53-4D19-802A-A3EC8E2E4411}"/>
                    </c:ext>
                  </c:extLst>
                </c:dPt>
                <c:dPt>
                  <c:idx val="2"/>
                  <c:bubble3D val="0"/>
                  <c:spPr>
                    <a:gradFill rotWithShape="1">
                      <a:gsLst>
                        <a:gs pos="0">
                          <a:schemeClr val="accent3">
                            <a:tint val="94000"/>
                            <a:satMod val="103000"/>
                            <a:lumMod val="102000"/>
                          </a:schemeClr>
                        </a:gs>
                        <a:gs pos="50000">
                          <a:schemeClr val="accent3">
                            <a:shade val="100000"/>
                            <a:satMod val="110000"/>
                            <a:lumMod val="100000"/>
                          </a:schemeClr>
                        </a:gs>
                        <a:gs pos="100000">
                          <a:schemeClr val="accent3">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F-FB53-4D19-802A-A3EC8E2E4411}"/>
                    </c:ext>
                  </c:extLst>
                </c:dPt>
                <c:dPt>
                  <c:idx val="3"/>
                  <c:bubble3D val="0"/>
                  <c:spPr>
                    <a:gradFill rotWithShape="1">
                      <a:gsLst>
                        <a:gs pos="0">
                          <a:schemeClr val="accent4">
                            <a:tint val="94000"/>
                            <a:satMod val="103000"/>
                            <a:lumMod val="102000"/>
                          </a:schemeClr>
                        </a:gs>
                        <a:gs pos="50000">
                          <a:schemeClr val="accent4">
                            <a:shade val="100000"/>
                            <a:satMod val="110000"/>
                            <a:lumMod val="100000"/>
                          </a:schemeClr>
                        </a:gs>
                        <a:gs pos="100000">
                          <a:schemeClr val="accent4">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31-FB53-4D19-802A-A3EC8E2E4411}"/>
                    </c:ext>
                  </c:extLst>
                </c:dPt>
                <c:dPt>
                  <c:idx val="4"/>
                  <c:bubble3D val="0"/>
                  <c:spPr>
                    <a:gradFill rotWithShape="1">
                      <a:gsLst>
                        <a:gs pos="0">
                          <a:schemeClr val="accent5">
                            <a:tint val="94000"/>
                            <a:satMod val="103000"/>
                            <a:lumMod val="102000"/>
                          </a:schemeClr>
                        </a:gs>
                        <a:gs pos="50000">
                          <a:schemeClr val="accent5">
                            <a:shade val="100000"/>
                            <a:satMod val="110000"/>
                            <a:lumMod val="100000"/>
                          </a:schemeClr>
                        </a:gs>
                        <a:gs pos="100000">
                          <a:schemeClr val="accent5">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33-FB53-4D19-802A-A3EC8E2E4411}"/>
                    </c:ext>
                  </c:extLst>
                </c:dPt>
                <c:dPt>
                  <c:idx val="5"/>
                  <c:bubble3D val="0"/>
                  <c:spPr>
                    <a:gradFill rotWithShape="1">
                      <a:gsLst>
                        <a:gs pos="0">
                          <a:schemeClr val="accent6">
                            <a:tint val="94000"/>
                            <a:satMod val="103000"/>
                            <a:lumMod val="102000"/>
                          </a:schemeClr>
                        </a:gs>
                        <a:gs pos="50000">
                          <a:schemeClr val="accent6">
                            <a:shade val="100000"/>
                            <a:satMod val="110000"/>
                            <a:lumMod val="100000"/>
                          </a:schemeClr>
                        </a:gs>
                        <a:gs pos="100000">
                          <a:schemeClr val="accent6">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35-FB53-4D19-802A-A3EC8E2E4411}"/>
                    </c:ext>
                  </c:extLst>
                </c:dPt>
                <c:dPt>
                  <c:idx val="6"/>
                  <c:bubble3D val="0"/>
                  <c:spPr>
                    <a:gradFill rotWithShape="1">
                      <a:gsLst>
                        <a:gs pos="0">
                          <a:schemeClr val="accent1">
                            <a:lumMod val="60000"/>
                            <a:tint val="94000"/>
                            <a:satMod val="103000"/>
                            <a:lumMod val="102000"/>
                          </a:schemeClr>
                        </a:gs>
                        <a:gs pos="50000">
                          <a:schemeClr val="accent1">
                            <a:lumMod val="60000"/>
                            <a:shade val="100000"/>
                            <a:satMod val="110000"/>
                            <a:lumMod val="100000"/>
                          </a:schemeClr>
                        </a:gs>
                        <a:gs pos="100000">
                          <a:schemeClr val="accent1">
                            <a:lumMod val="60000"/>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37-FB53-4D19-802A-A3EC8E2E441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AT"/>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ormulaRef>
                          <c15:sqref>Sheet1!$I$2:$I$8</c15:sqref>
                        </c15:formulaRef>
                      </c:ext>
                    </c:extLst>
                    <c:strCache>
                      <c:ptCount val="7"/>
                      <c:pt idx="0">
                        <c:v>Fifa</c:v>
                      </c:pt>
                      <c:pt idx="1">
                        <c:v>Resident Evil</c:v>
                      </c:pt>
                      <c:pt idx="2">
                        <c:v>Fallout</c:v>
                      </c:pt>
                      <c:pt idx="3">
                        <c:v>Football Manager</c:v>
                      </c:pt>
                      <c:pt idx="4">
                        <c:v>Last of Us</c:v>
                      </c:pt>
                      <c:pt idx="5">
                        <c:v>GTA</c:v>
                      </c:pt>
                      <c:pt idx="6">
                        <c:v>After Dawn</c:v>
                      </c:pt>
                    </c:strCache>
                  </c:strRef>
                </c:cat>
                <c:val>
                  <c:numRef>
                    <c:extLst>
                      <c:ext xmlns:c15="http://schemas.microsoft.com/office/drawing/2012/chart" uri="{02D57815-91ED-43cb-92C2-25804820EDAC}">
                        <c15:formulaRef>
                          <c15:sqref>Sheet1!$M$2:$M$8</c15:sqref>
                        </c15:formulaRef>
                      </c:ext>
                    </c:extLst>
                    <c:numCache>
                      <c:formatCode>_("€"* #,##0.00_);_("€"* \(#,##0.00\);_("€"* "-"??_);_(@_)</c:formatCode>
                      <c:ptCount val="7"/>
                      <c:pt idx="0">
                        <c:v>48</c:v>
                      </c:pt>
                      <c:pt idx="1">
                        <c:v>36</c:v>
                      </c:pt>
                      <c:pt idx="2">
                        <c:v>30</c:v>
                      </c:pt>
                      <c:pt idx="3">
                        <c:v>18</c:v>
                      </c:pt>
                      <c:pt idx="4">
                        <c:v>54</c:v>
                      </c:pt>
                      <c:pt idx="5">
                        <c:v>12</c:v>
                      </c:pt>
                      <c:pt idx="6">
                        <c:v>39</c:v>
                      </c:pt>
                    </c:numCache>
                  </c:numRef>
                </c:val>
                <c:extLst xmlns:c15="http://schemas.microsoft.com/office/drawing/2012/chart">
                  <c:ext xmlns:c16="http://schemas.microsoft.com/office/drawing/2014/chart" uri="{C3380CC4-5D6E-409C-BE32-E72D297353CC}">
                    <c16:uniqueId val="{00000003-EF58-413A-9B45-06B63F587447}"/>
                  </c:ext>
                </c:extLst>
              </c15:ser>
            </c15:filteredPieSeries>
          </c:ext>
        </c:extLst>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AT"/>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AT"/>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8</xdr:col>
      <xdr:colOff>219075</xdr:colOff>
      <xdr:row>9</xdr:row>
      <xdr:rowOff>19050</xdr:rowOff>
    </xdr:from>
    <xdr:to>
      <xdr:col>12</xdr:col>
      <xdr:colOff>1108075</xdr:colOff>
      <xdr:row>22</xdr:row>
      <xdr:rowOff>38100</xdr:rowOff>
    </xdr:to>
    <xdr:graphicFrame macro="">
      <xdr:nvGraphicFramePr>
        <xdr:cNvPr id="3" name="Chart 2">
          <a:extLst>
            <a:ext uri="{FF2B5EF4-FFF2-40B4-BE49-F238E27FC236}">
              <a16:creationId xmlns:a16="http://schemas.microsoft.com/office/drawing/2014/main" id="{65F12E1F-C113-458B-A444-426BEE3B07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19050</xdr:colOff>
      <xdr:row>9</xdr:row>
      <xdr:rowOff>190500</xdr:rowOff>
    </xdr:from>
    <xdr:to>
      <xdr:col>6</xdr:col>
      <xdr:colOff>590550</xdr:colOff>
      <xdr:row>15</xdr:row>
      <xdr:rowOff>88900</xdr:rowOff>
    </xdr:to>
    <xdr:sp macro="" textlink="">
      <xdr:nvSpPr>
        <xdr:cNvPr id="4" name="TextBox 3">
          <a:extLst>
            <a:ext uri="{FF2B5EF4-FFF2-40B4-BE49-F238E27FC236}">
              <a16:creationId xmlns:a16="http://schemas.microsoft.com/office/drawing/2014/main" id="{89CEA98A-A0E5-4D83-BE91-5F3B56B02E94}"/>
            </a:ext>
          </a:extLst>
        </xdr:cNvPr>
        <xdr:cNvSpPr txBox="1"/>
      </xdr:nvSpPr>
      <xdr:spPr>
        <a:xfrm>
          <a:off x="19050" y="2076450"/>
          <a:ext cx="5035550" cy="1155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a:t>"Lorem ipsum dolor sit amet, consectetur adipiscing elit, sed do eiusmod tempor incididunt ut labore et dolore magna aliqua. Ut enim ad minim veniam, quis nostrud exercitation ullamco laboris nisi ut aliquip ex ea commodo consequat. Duis aute irure dolor in reprehenderit in voluptate velit esse cillum dolore eu fugiat nulla pariatur. Excepteur sint occaecat cupidatat non proident, sunt in culpa qui officia deserunt mollit anim id est laborum."</a:t>
          </a:r>
          <a:endParaRPr lang="en-AT" sz="1100"/>
        </a:p>
      </xdr:txBody>
    </xdr:sp>
    <xdr:clientData/>
  </xdr:twoCellAnchor>
  <xdr:twoCellAnchor editAs="oneCell">
    <xdr:from>
      <xdr:col>2</xdr:col>
      <xdr:colOff>419100</xdr:colOff>
      <xdr:row>16</xdr:row>
      <xdr:rowOff>146050</xdr:rowOff>
    </xdr:from>
    <xdr:to>
      <xdr:col>3</xdr:col>
      <xdr:colOff>571500</xdr:colOff>
      <xdr:row>21</xdr:row>
      <xdr:rowOff>12700</xdr:rowOff>
    </xdr:to>
    <xdr:pic>
      <xdr:nvPicPr>
        <xdr:cNvPr id="9" name="Graphic 8" descr="Airplane">
          <a:extLst>
            <a:ext uri="{FF2B5EF4-FFF2-40B4-BE49-F238E27FC236}">
              <a16:creationId xmlns:a16="http://schemas.microsoft.com/office/drawing/2014/main" id="{468AE27C-D3A7-49CA-B546-B2922696ED1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41500" y="3498850"/>
          <a:ext cx="914400" cy="91440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tevixe" id="{282D547A-93FD-4E14-8FDF-798DABA0B97C}" userId="tevixe" providerId="Non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I1:M8" totalsRowShown="0">
  <autoFilter ref="I1:M8" xr:uid="{00000000-0009-0000-0100-000001000000}"/>
  <tableColumns count="5">
    <tableColumn id="1" xr3:uid="{00000000-0010-0000-0000-000001000000}" name="Games"/>
    <tableColumn id="2" xr3:uid="{00000000-0010-0000-0000-000002000000}" name="Year Released"/>
    <tableColumn id="3" xr3:uid="{00000000-0010-0000-0000-000003000000}" name="Price"/>
    <tableColumn id="4" xr3:uid="{00000000-0010-0000-0000-000004000000}" name="Discount"/>
    <tableColumn id="5" xr3:uid="{00000000-0010-0000-0000-000005000000}" name="Price After" dataDxfId="0">
      <calculatedColumnFormula>K2-(K2*(L2*100/100))</calculatedColumnFormula>
    </tableColumn>
  </tableColumns>
  <tableStyleInfo name="TableStyleLight16" showFirstColumn="0" showLastColumn="0" showRowStripes="1" showColumnStripes="0"/>
</table>
</file>

<file path=xl/theme/theme1.xml><?xml version="1.0" encoding="utf-8"?>
<a:theme xmlns:a="http://schemas.openxmlformats.org/drawingml/2006/main" name="Badge">
  <a:themeElements>
    <a:clrScheme name="Badge">
      <a:dk1>
        <a:sysClr val="windowText" lastClr="000000"/>
      </a:dk1>
      <a:lt1>
        <a:sysClr val="window" lastClr="FFFFFF"/>
      </a:lt1>
      <a:dk2>
        <a:srgbClr val="2A1A00"/>
      </a:dk2>
      <a:lt2>
        <a:srgbClr val="F3F3F2"/>
      </a:lt2>
      <a:accent1>
        <a:srgbClr val="F8B323"/>
      </a:accent1>
      <a:accent2>
        <a:srgbClr val="656A59"/>
      </a:accent2>
      <a:accent3>
        <a:srgbClr val="46B2B5"/>
      </a:accent3>
      <a:accent4>
        <a:srgbClr val="8CAA7E"/>
      </a:accent4>
      <a:accent5>
        <a:srgbClr val="D36F68"/>
      </a:accent5>
      <a:accent6>
        <a:srgbClr val="826276"/>
      </a:accent6>
      <a:hlink>
        <a:srgbClr val="46B2B5"/>
      </a:hlink>
      <a:folHlink>
        <a:srgbClr val="A46694"/>
      </a:folHlink>
    </a:clrScheme>
    <a:fontScheme name="Badge">
      <a:majorFont>
        <a:latin typeface="Impact" panose="020B080603090205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Gill Sans MT" panose="020B0502020104020203"/>
        <a:ea typeface=""/>
        <a:cs typeface=""/>
        <a:font script="Grek" typeface="Corbel"/>
        <a:font script="Cyrl" typeface="Corbel"/>
        <a:font script="Jpan" typeface="メイリオ"/>
        <a:font script="Hang" typeface="휴먼매직체"/>
        <a:font script="Hans" typeface="华文中宋"/>
        <a:font script="Hant" typeface="微軟正黑體"/>
        <a:font script="Arab" typeface="Majalla UI"/>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Badge">
      <a:fillStyleLst>
        <a:solidFill>
          <a:schemeClr val="phClr"/>
        </a:solidFill>
        <a:gradFill rotWithShape="1">
          <a:gsLst>
            <a:gs pos="0">
              <a:schemeClr val="phClr">
                <a:tint val="67000"/>
                <a:satMod val="105000"/>
                <a:lumMod val="110000"/>
              </a:schemeClr>
            </a:gs>
            <a:gs pos="50000">
              <a:schemeClr val="phClr">
                <a:tint val="73000"/>
                <a:satMod val="103000"/>
                <a:lumMod val="105000"/>
              </a:schemeClr>
            </a:gs>
            <a:gs pos="100000">
              <a:schemeClr val="phClr">
                <a:tint val="81000"/>
                <a:satMod val="109000"/>
                <a:lumMod val="105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6350" cap="flat" cmpd="sng" algn="in">
          <a:solidFill>
            <a:schemeClr val="phClr"/>
          </a:solidFill>
          <a:prstDash val="solid"/>
        </a:ln>
        <a:ln w="12700" cap="flat" cmpd="sng" algn="in">
          <a:solidFill>
            <a:schemeClr val="phClr"/>
          </a:solidFill>
          <a:prstDash val="solid"/>
        </a:ln>
        <a:ln w="50800" cap="flat" cmpd="sng" algn="in">
          <a:solidFill>
            <a:schemeClr val="phClr"/>
          </a:solidFill>
          <a:prstDash val="solid"/>
        </a:ln>
      </a:lnStyleLst>
      <a:effectStyleLst>
        <a:effectStyle>
          <a:effectLst/>
        </a:effectStyle>
        <a:effectStyle>
          <a:effectLst/>
        </a:effectStyle>
        <a:effectStyle>
          <a:effectLst>
            <a:outerShdw blurRad="38100" dist="25400" dir="5400000" algn="ctr" rotWithShape="0">
              <a:srgbClr val="000000">
                <a:alpha val="25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hade val="98000"/>
                <a:satMod val="150000"/>
                <a:lumMod val="102000"/>
              </a:schemeClr>
            </a:gs>
            <a:gs pos="50000">
              <a:schemeClr val="phClr">
                <a:tint val="98000"/>
                <a:shade val="90000"/>
                <a:satMod val="13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Badge" id="{71A07785-5930-41D4-9A83-E23602B48E98}" vid="{771EA782-DFA6-45B1-AEA3-661F1715B310}"/>
    </a:ext>
  </a:extLst>
</a:theme>
</file>

<file path=xl/threadedComments/threadedComment1.xml><?xml version="1.0" encoding="utf-8"?>
<ThreadedComments xmlns="http://schemas.microsoft.com/office/spreadsheetml/2018/threadedcomments" xmlns:x="http://schemas.openxmlformats.org/spreadsheetml/2006/main">
  <threadedComment ref="B2" dT="2020-10-01T12:46:32.37" personId="{282D547A-93FD-4E14-8FDF-798DABA0B97C}" id="{DEBB5416-7B33-4729-BC22-158E417639C5}">
    <text>Overpriced</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8"/>
  <sheetViews>
    <sheetView tabSelected="1" workbookViewId="0">
      <selection activeCell="F3" sqref="F3"/>
    </sheetView>
  </sheetViews>
  <sheetFormatPr defaultRowHeight="16.5" x14ac:dyDescent="0.5"/>
  <cols>
    <col min="1" max="1" width="11.6328125" customWidth="1"/>
    <col min="3" max="3" width="10.90625" customWidth="1"/>
    <col min="4" max="4" width="15.1796875" customWidth="1"/>
    <col min="6" max="6" width="10.7265625" bestFit="1" customWidth="1"/>
    <col min="9" max="9" width="16.1796875" customWidth="1"/>
    <col min="10" max="10" width="16" customWidth="1"/>
    <col min="11" max="12" width="10.26953125" customWidth="1"/>
    <col min="13" max="13" width="16.54296875" customWidth="1"/>
  </cols>
  <sheetData>
    <row r="1" spans="1:13" x14ac:dyDescent="0.5">
      <c r="A1" s="1" t="s">
        <v>0</v>
      </c>
      <c r="B1" s="1" t="s">
        <v>1</v>
      </c>
      <c r="C1" s="1" t="s">
        <v>2</v>
      </c>
      <c r="D1" s="1" t="s">
        <v>4</v>
      </c>
      <c r="F1" s="1" t="s">
        <v>27</v>
      </c>
      <c r="I1" t="s">
        <v>10</v>
      </c>
      <c r="J1" t="s">
        <v>11</v>
      </c>
      <c r="K1" t="s">
        <v>1</v>
      </c>
      <c r="L1" s="4" t="s">
        <v>12</v>
      </c>
      <c r="M1" t="s">
        <v>13</v>
      </c>
    </row>
    <row r="2" spans="1:13" x14ac:dyDescent="0.5">
      <c r="A2" t="s">
        <v>3</v>
      </c>
      <c r="B2" s="2">
        <v>5</v>
      </c>
      <c r="C2">
        <v>1100</v>
      </c>
      <c r="D2" s="3">
        <f>SUM(B2:C2)</f>
        <v>1105</v>
      </c>
      <c r="F2">
        <f>IF(C3&gt;C4,IF(C2&gt;C4,C2,C4),IF(C3 &gt;C4, IF(C2 &gt;C3, C2,C3),C4))</f>
        <v>1100</v>
      </c>
      <c r="I2" t="s">
        <v>14</v>
      </c>
      <c r="J2">
        <v>2020</v>
      </c>
      <c r="K2" s="2">
        <v>60</v>
      </c>
      <c r="L2" s="4">
        <v>0.2</v>
      </c>
      <c r="M2" s="3">
        <f t="shared" ref="M2:M8" si="0">K2-(K2*(L2*100/100))</f>
        <v>48</v>
      </c>
    </row>
    <row r="3" spans="1:13" x14ac:dyDescent="0.5">
      <c r="A3" t="s">
        <v>5</v>
      </c>
      <c r="B3" s="2">
        <v>7</v>
      </c>
      <c r="C3">
        <v>220</v>
      </c>
      <c r="D3" s="3">
        <f t="shared" ref="D3:D7" si="1">SUM(B3:C3)</f>
        <v>227</v>
      </c>
      <c r="F3" s="3">
        <f>SUM(SUM(SUM(B2:B3),SUM(B4:B7)), SUM(D2:D3))</f>
        <v>1355</v>
      </c>
      <c r="I3" t="s">
        <v>15</v>
      </c>
      <c r="J3">
        <v>2019</v>
      </c>
      <c r="K3" s="2">
        <v>60</v>
      </c>
      <c r="L3" s="4">
        <v>0.4</v>
      </c>
      <c r="M3" s="3">
        <f t="shared" si="0"/>
        <v>36</v>
      </c>
    </row>
    <row r="4" spans="1:13" x14ac:dyDescent="0.5">
      <c r="A4" t="s">
        <v>6</v>
      </c>
      <c r="B4" s="2">
        <v>3</v>
      </c>
      <c r="C4">
        <v>31</v>
      </c>
      <c r="D4" s="3">
        <f>SUM(B4:C4)</f>
        <v>34</v>
      </c>
      <c r="I4" t="s">
        <v>16</v>
      </c>
      <c r="J4">
        <v>2018</v>
      </c>
      <c r="K4" s="2">
        <v>60</v>
      </c>
      <c r="L4" s="4">
        <v>0.5</v>
      </c>
      <c r="M4" s="3">
        <f t="shared" si="0"/>
        <v>30</v>
      </c>
    </row>
    <row r="5" spans="1:13" x14ac:dyDescent="0.5">
      <c r="A5" t="s">
        <v>7</v>
      </c>
      <c r="B5" s="2">
        <v>2</v>
      </c>
      <c r="C5">
        <v>2555</v>
      </c>
      <c r="D5" s="3">
        <f t="shared" si="1"/>
        <v>2557</v>
      </c>
      <c r="I5" t="s">
        <v>17</v>
      </c>
      <c r="J5">
        <v>2020</v>
      </c>
      <c r="K5" s="2">
        <v>60</v>
      </c>
      <c r="L5" s="4">
        <v>0.7</v>
      </c>
      <c r="M5" s="3">
        <f t="shared" si="0"/>
        <v>18</v>
      </c>
    </row>
    <row r="6" spans="1:13" x14ac:dyDescent="0.5">
      <c r="A6" t="s">
        <v>8</v>
      </c>
      <c r="B6" s="2">
        <v>1</v>
      </c>
      <c r="C6">
        <v>1</v>
      </c>
      <c r="D6" s="3">
        <f t="shared" si="1"/>
        <v>2</v>
      </c>
      <c r="I6" t="s">
        <v>18</v>
      </c>
      <c r="J6">
        <v>2020</v>
      </c>
      <c r="K6" s="2">
        <v>60</v>
      </c>
      <c r="L6" s="4">
        <v>0.1</v>
      </c>
      <c r="M6" s="3">
        <f t="shared" si="0"/>
        <v>54</v>
      </c>
    </row>
    <row r="7" spans="1:13" x14ac:dyDescent="0.5">
      <c r="A7" t="s">
        <v>9</v>
      </c>
      <c r="B7" s="2">
        <v>5</v>
      </c>
      <c r="C7">
        <v>6</v>
      </c>
      <c r="D7" s="3">
        <f t="shared" si="1"/>
        <v>11</v>
      </c>
      <c r="I7" t="s">
        <v>19</v>
      </c>
      <c r="J7">
        <v>2017</v>
      </c>
      <c r="K7" s="2">
        <v>60</v>
      </c>
      <c r="L7" s="4">
        <v>0.8</v>
      </c>
      <c r="M7" s="3">
        <f t="shared" si="0"/>
        <v>12</v>
      </c>
    </row>
    <row r="8" spans="1:13" x14ac:dyDescent="0.5">
      <c r="I8" t="s">
        <v>20</v>
      </c>
      <c r="J8">
        <v>2018</v>
      </c>
      <c r="K8" s="2">
        <v>60</v>
      </c>
      <c r="L8" s="4">
        <v>0.35</v>
      </c>
      <c r="M8" s="3">
        <f t="shared" si="0"/>
        <v>39</v>
      </c>
    </row>
  </sheetData>
  <pageMargins left="0.7" right="0.7" top="0.75" bottom="0.75" header="0.3" footer="0.3"/>
  <pageSetup paperSize="9" orientation="portrait" r:id="rId1"/>
  <drawing r:id="rId2"/>
  <legacyDrawing r:id="rId3"/>
  <tableParts count="1">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7"/>
  <sheetViews>
    <sheetView workbookViewId="0">
      <selection activeCell="D2" sqref="D2"/>
    </sheetView>
  </sheetViews>
  <sheetFormatPr defaultRowHeight="16.5" x14ac:dyDescent="0.5"/>
  <cols>
    <col min="14" max="14" width="9.26953125" bestFit="1" customWidth="1"/>
  </cols>
  <sheetData>
    <row r="1" spans="1:14" x14ac:dyDescent="0.5">
      <c r="A1" t="s">
        <v>0</v>
      </c>
      <c r="B1" t="s">
        <v>21</v>
      </c>
      <c r="C1" t="s">
        <v>22</v>
      </c>
      <c r="D1" t="s">
        <v>23</v>
      </c>
      <c r="F1" t="s">
        <v>24</v>
      </c>
      <c r="G1" t="s">
        <v>24</v>
      </c>
      <c r="M1" t="s">
        <v>26</v>
      </c>
      <c r="N1" t="s">
        <v>25</v>
      </c>
    </row>
    <row r="2" spans="1:14" x14ac:dyDescent="0.5">
      <c r="A2" t="e">
        <f>CHAR(Sheet1!A2)</f>
        <v>#VALUE!</v>
      </c>
      <c r="B2" t="e" cm="1">
        <f t="array" ref="B2">Sheet</f>
        <v>#NAME?</v>
      </c>
      <c r="C2">
        <f>IF((D2 &gt; F2), SUM(D2:D7), SUM(F2:F7))</f>
        <v>230</v>
      </c>
      <c r="D2" s="3">
        <f>Sheet1!B2 * 10</f>
        <v>50</v>
      </c>
      <c r="F2" s="3">
        <f>D2/100</f>
        <v>0.5</v>
      </c>
      <c r="J2" s="3"/>
      <c r="M2">
        <f>SUM(Sheet1!C2:'Sheet1'!C7)</f>
        <v>3913</v>
      </c>
      <c r="N2" s="3">
        <f>SUM(D2:D7)</f>
        <v>230</v>
      </c>
    </row>
    <row r="3" spans="1:14" x14ac:dyDescent="0.5">
      <c r="A3" t="e">
        <f>CHAR(Sheet1!A3)</f>
        <v>#VALUE!</v>
      </c>
      <c r="B3" t="e" cm="1">
        <f t="array" ref="B3">Sheet</f>
        <v>#NAME?</v>
      </c>
      <c r="C3" t="e">
        <f t="shared" ref="C3:C7" si="0">1/0</f>
        <v>#DIV/0!</v>
      </c>
      <c r="D3" s="3">
        <f>Sheet1!B3 * 10</f>
        <v>70</v>
      </c>
      <c r="F3" s="3">
        <f t="shared" ref="F3:F7" si="1">D3/100</f>
        <v>0.7</v>
      </c>
      <c r="J3" s="3"/>
    </row>
    <row r="4" spans="1:14" x14ac:dyDescent="0.5">
      <c r="A4" t="e">
        <f>CHAR(Sheet1!A4)</f>
        <v>#VALUE!</v>
      </c>
      <c r="B4" t="e" cm="1">
        <f t="array" ref="B4">Sheet</f>
        <v>#NAME?</v>
      </c>
      <c r="C4" t="e">
        <f t="shared" si="0"/>
        <v>#DIV/0!</v>
      </c>
      <c r="D4" s="3">
        <f>Sheet1!B4 * 10</f>
        <v>30</v>
      </c>
      <c r="F4" s="3">
        <f t="shared" si="1"/>
        <v>0.3</v>
      </c>
      <c r="J4" s="3"/>
    </row>
    <row r="5" spans="1:14" x14ac:dyDescent="0.5">
      <c r="A5" t="e">
        <f>CHAR(Sheet1!A5)</f>
        <v>#VALUE!</v>
      </c>
      <c r="B5" t="e" cm="1">
        <f t="array" ref="B5">Sheet</f>
        <v>#NAME?</v>
      </c>
      <c r="C5" t="e">
        <f t="shared" si="0"/>
        <v>#DIV/0!</v>
      </c>
      <c r="D5" s="3">
        <f>Sheet1!B5 * 10</f>
        <v>20</v>
      </c>
      <c r="F5" s="3">
        <f t="shared" si="1"/>
        <v>0.2</v>
      </c>
      <c r="J5" s="3"/>
    </row>
    <row r="6" spans="1:14" x14ac:dyDescent="0.5">
      <c r="A6" t="e">
        <f>CHAR(Sheet1!A6)</f>
        <v>#VALUE!</v>
      </c>
      <c r="B6" t="e" cm="1">
        <f t="array" ref="B6">Sheet</f>
        <v>#NAME?</v>
      </c>
      <c r="C6" t="e">
        <f t="shared" si="0"/>
        <v>#DIV/0!</v>
      </c>
      <c r="D6" s="3">
        <f>Sheet1!B6 * 10</f>
        <v>10</v>
      </c>
      <c r="F6" s="3">
        <f t="shared" si="1"/>
        <v>0.1</v>
      </c>
      <c r="J6" s="3"/>
    </row>
    <row r="7" spans="1:14" x14ac:dyDescent="0.5">
      <c r="A7" t="e">
        <f>CHAR(Sheet1!A7)</f>
        <v>#VALUE!</v>
      </c>
      <c r="B7" t="e" cm="1">
        <f t="array" ref="B7">Sheet</f>
        <v>#NAME?</v>
      </c>
      <c r="C7" t="e">
        <f t="shared" si="0"/>
        <v>#DIV/0!</v>
      </c>
      <c r="D7" s="3">
        <f>Sheet1!B7 * 10</f>
        <v>50</v>
      </c>
      <c r="F7" s="3">
        <f t="shared" si="1"/>
        <v>0.5</v>
      </c>
      <c r="J7"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43676</dc:creator>
  <cp:lastModifiedBy>43676</cp:lastModifiedBy>
  <dcterms:created xsi:type="dcterms:W3CDTF">2020-09-30T15:03:27Z</dcterms:created>
  <dcterms:modified xsi:type="dcterms:W3CDTF">2020-12-16T23:49:17Z</dcterms:modified>
</cp:coreProperties>
</file>